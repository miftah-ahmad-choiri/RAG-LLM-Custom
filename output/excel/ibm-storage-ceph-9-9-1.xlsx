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'TOC'!$A$1:$C$1896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353E9"/>
      <sz val="10"/>
      <u val="single"/>
    </font>
  </fonts>
  <fills count="6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D0E2FF"/>
      </patternFill>
    </fill>
    <fill>
      <patternFill patternType="solid">
        <fgColor rgb="00EDF5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2E6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72" customWidth="1" min="3" max="3"/>
  </cols>
  <sheetData>
    <row r="1" ht="22" customHeight="1">
      <c r="A1" s="1" t="inlineStr">
        <is>
          <t>Index</t>
        </is>
      </c>
      <c r="B1" s="1" t="inlineStr">
        <is>
          <t>Description</t>
        </is>
      </c>
      <c r="C1" s="1" t="inlineStr">
        <is>
          <t>URL</t>
        </is>
      </c>
    </row>
    <row r="2" ht="18" customHeight="1">
      <c r="A2" s="2" t="inlineStr">
        <is>
          <t>1</t>
        </is>
      </c>
      <c r="B2" s="3" t="inlineStr">
        <is>
          <t>Welcome</t>
        </is>
      </c>
      <c r="C2" s="4">
        <f>HYPERLINK("https://www.ibm.com/docs/en/storage-ceph/9.9.1?topic=dummy-landing-page-id","https://www.ibm.com/docs/en/storage-ceph/9.9.1?topic=dummy-landing-page-id")</f>
        <v/>
      </c>
    </row>
    <row r="3" ht="18" customHeight="1">
      <c r="A3" s="2" t="inlineStr">
        <is>
          <t>2</t>
        </is>
      </c>
      <c r="B3" s="3" t="inlineStr">
        <is>
          <t>What's new in IBM Storage Ceph  9.9.1</t>
        </is>
      </c>
      <c r="C3" s="4">
        <f>HYPERLINK("https://www.ibm.com/docs/en/storage-ceph/9.9.1?topic=whats-new-in-storage-ceph-991","https://www.ibm.com/docs/en/storage-ceph/9.9.1?topic=whats-new-in-storage-ceph-991")</f>
        <v/>
      </c>
    </row>
    <row r="4" ht="18" customHeight="1">
      <c r="A4" s="2" t="inlineStr">
        <is>
          <t>3</t>
        </is>
      </c>
      <c r="B4" s="3" t="inlineStr">
        <is>
          <t>Compatibility matrix</t>
        </is>
      </c>
      <c r="C4" s="4">
        <f>HYPERLINK("https://www.ibm.com/docs/en/storage-ceph/9.9.1?topic=compatibility-matrix","https://www.ibm.com/docs/en/storage-ceph/9.9.1?topic=compatibility-matrix")</f>
        <v/>
      </c>
    </row>
    <row r="5" ht="18" customHeight="1">
      <c r="A5" s="2" t="inlineStr">
        <is>
          <t>4</t>
        </is>
      </c>
      <c r="B5" s="3" t="inlineStr">
        <is>
          <t>Release notes for 9.9.1</t>
        </is>
      </c>
      <c r="C5" s="4">
        <f>HYPERLINK("https://www.ibm.com/docs/en/storage-ceph/9.9.1?topic=release-notes-991","https://www.ibm.com/docs/en/storage-ceph/9.9.1?topic=release-notes-991")</f>
        <v/>
      </c>
    </row>
    <row r="6" ht="18" customHeight="1">
      <c r="A6" s="5" t="inlineStr">
        <is>
          <t>4.1</t>
        </is>
      </c>
      <c r="B6" s="6" t="inlineStr">
        <is>
          <t xml:space="preserve">  New features and enhancements</t>
        </is>
      </c>
      <c r="C6" s="7">
        <f>HYPERLINK("https://www.ibm.com/docs/en/storage-ceph/9.9.1?topic=991-new-features-enhancements","https://www.ibm.com/docs/en/storage-ceph/9.9.1?topic=991-new-features-enhancements")</f>
        <v/>
      </c>
    </row>
    <row r="7" ht="18" customHeight="1">
      <c r="A7" s="5" t="inlineStr">
        <is>
          <t>4.2</t>
        </is>
      </c>
      <c r="B7" s="6" t="inlineStr">
        <is>
          <t xml:space="preserve">  Deprecated functionality</t>
        </is>
      </c>
      <c r="C7" s="7">
        <f>HYPERLINK("https://www.ibm.com/docs/en/storage-ceph/9.9.1?topic=991-deprecated-functionality","https://www.ibm.com/docs/en/storage-ceph/9.9.1?topic=991-deprecated-functionality")</f>
        <v/>
      </c>
    </row>
    <row r="8" ht="18" customHeight="1">
      <c r="A8" s="5" t="inlineStr">
        <is>
          <t>4.3</t>
        </is>
      </c>
      <c r="B8" s="6" t="inlineStr">
        <is>
          <t xml:space="preserve">  Technology Preview</t>
        </is>
      </c>
      <c r="C8" s="7">
        <f>HYPERLINK("https://www.ibm.com/docs/en/storage-ceph/9.9.1?topic=991-technology-preview","https://www.ibm.com/docs/en/storage-ceph/9.9.1?topic=991-technology-preview")</f>
        <v/>
      </c>
    </row>
    <row r="9" ht="18" customHeight="1">
      <c r="A9" s="5" t="inlineStr">
        <is>
          <t>4.4</t>
        </is>
      </c>
      <c r="B9" s="6" t="inlineStr">
        <is>
          <t xml:space="preserve">  Bug fixes</t>
        </is>
      </c>
      <c r="C9" s="7">
        <f>HYPERLINK("https://www.ibm.com/docs/en/storage-ceph/9.9.1?topic=991-bug-fixes","https://www.ibm.com/docs/en/storage-ceph/9.9.1?topic=991-bug-fixes")</f>
        <v/>
      </c>
    </row>
    <row r="10" ht="18" customHeight="1">
      <c r="A10" s="5" t="inlineStr">
        <is>
          <t>4.5</t>
        </is>
      </c>
      <c r="B10" s="6" t="inlineStr">
        <is>
          <t xml:space="preserve">  Known issues</t>
        </is>
      </c>
      <c r="C10" s="7">
        <f>HYPERLINK("https://www.ibm.com/docs/en/storage-ceph/9.9.1?topic=991-known-issues","https://www.ibm.com/docs/en/storage-ceph/9.9.1?topic=991-known-issues")</f>
        <v/>
      </c>
    </row>
    <row r="11" ht="18" customHeight="1">
      <c r="A11" s="5" t="inlineStr">
        <is>
          <t>4.6</t>
        </is>
      </c>
      <c r="B11" s="6" t="inlineStr">
        <is>
          <t xml:space="preserve">  Sources</t>
        </is>
      </c>
      <c r="C11" s="7">
        <f>HYPERLINK("https://www.ibm.com/docs/en/storage-ceph/9.9.1?topic=991-sources","https://www.ibm.com/docs/en/storage-ceph/9.9.1?topic=991-sources")</f>
        <v/>
      </c>
    </row>
    <row r="12" ht="18" customHeight="1">
      <c r="A12" s="2" t="inlineStr">
        <is>
          <t>5</t>
        </is>
      </c>
      <c r="B12" s="3" t="inlineStr">
        <is>
          <t>Fix updates</t>
        </is>
      </c>
      <c r="C12" s="4">
        <f>HYPERLINK("https://www.ibm.com/docs/en/storage-ceph/9.9.1?topic=fix-updates","https://www.ibm.com/docs/en/storage-ceph/9.9.1?topic=fix-updates")</f>
        <v/>
      </c>
    </row>
    <row r="13" ht="18" customHeight="1">
      <c r="A13" s="5" t="inlineStr">
        <is>
          <t>5.1</t>
        </is>
      </c>
      <c r="B13" s="6" t="inlineStr">
        <is>
          <t xml:space="preserve">  Release notes for 9.9.1.1</t>
        </is>
      </c>
      <c r="C13" s="7">
        <f>HYPERLINK("https://www.ibm.com/docs/en/storage-ceph/9.9.1?topic=updates-release-notes-9911","https://www.ibm.com/docs/en/storage-ceph/9.9.1?topic=updates-release-notes-9911")</f>
        <v/>
      </c>
    </row>
    <row r="14" ht="18" customHeight="1">
      <c r="A14" s="8" t="inlineStr">
        <is>
          <t>5.1.1</t>
        </is>
      </c>
      <c r="B14" s="9" t="inlineStr">
        <is>
          <t xml:space="preserve">    New features and enhancements</t>
        </is>
      </c>
      <c r="C14" s="10">
        <f>HYPERLINK("https://www.ibm.com/docs/en/storage-ceph/9.9.1?topic=9911-new-features-enhancements","https://www.ibm.com/docs/en/storage-ceph/9.9.1?topic=9911-new-features-enhancements")</f>
        <v/>
      </c>
    </row>
    <row r="15" ht="18" customHeight="1">
      <c r="A15" s="8" t="inlineStr">
        <is>
          <t>5.1.2</t>
        </is>
      </c>
      <c r="B15" s="9" t="inlineStr">
        <is>
          <t xml:space="preserve">    Bug fixes</t>
        </is>
      </c>
      <c r="C15" s="10">
        <f>HYPERLINK("https://www.ibm.com/docs/en/storage-ceph/9.9.1?topic=9911-bug-fixes","https://www.ibm.com/docs/en/storage-ceph/9.9.1?topic=9911-bug-fixes")</f>
        <v/>
      </c>
    </row>
    <row r="16" ht="18" customHeight="1">
      <c r="A16" s="8" t="inlineStr">
        <is>
          <t>5.1.3</t>
        </is>
      </c>
      <c r="B16" s="9" t="inlineStr">
        <is>
          <t xml:space="preserve">    Known issues</t>
        </is>
      </c>
      <c r="C16" s="10">
        <f>HYPERLINK("https://www.ibm.com/docs/en/storage-ceph/9.9.1?topic=9911-known-issues","https://www.ibm.com/docs/en/storage-ceph/9.9.1?topic=9911-known-issues")</f>
        <v/>
      </c>
    </row>
    <row r="17" ht="18" customHeight="1">
      <c r="A17" s="5" t="inlineStr">
        <is>
          <t>5.2</t>
        </is>
      </c>
      <c r="B17" s="6" t="inlineStr">
        <is>
          <t xml:space="preserve">  Release notes for 9.9.1.2</t>
        </is>
      </c>
      <c r="C17" s="7">
        <f>HYPERLINK("https://www.ibm.com/docs/en/storage-ceph/9.9.1?topic=updates-release-notes-9912","https://www.ibm.com/docs/en/storage-ceph/9.9.1?topic=updates-release-notes-9912")</f>
        <v/>
      </c>
    </row>
    <row r="18" ht="18" customHeight="1">
      <c r="A18" s="8" t="inlineStr">
        <is>
          <t>5.2.1</t>
        </is>
      </c>
      <c r="B18" s="9" t="inlineStr">
        <is>
          <t xml:space="preserve">    New features and enhancements</t>
        </is>
      </c>
      <c r="C18" s="10">
        <f>HYPERLINK("https://www.ibm.com/docs/en/storage-ceph/9.9.1?topic=9912-new-features-enhancements","https://www.ibm.com/docs/en/storage-ceph/9.9.1?topic=9912-new-features-enhancements")</f>
        <v/>
      </c>
    </row>
    <row r="19" ht="18" customHeight="1">
      <c r="A19" s="8" t="inlineStr">
        <is>
          <t>5.2.2</t>
        </is>
      </c>
      <c r="B19" s="9" t="inlineStr">
        <is>
          <t xml:space="preserve">    Bug fixes</t>
        </is>
      </c>
      <c r="C19" s="10">
        <f>HYPERLINK("https://www.ibm.com/docs/en/storage-ceph/9.9.1?topic=9912-bug-fixes","https://www.ibm.com/docs/en/storage-ceph/9.9.1?topic=9912-bug-fixes")</f>
        <v/>
      </c>
    </row>
    <row r="20" ht="18" customHeight="1">
      <c r="A20" s="2" t="inlineStr">
        <is>
          <t>6</t>
        </is>
      </c>
      <c r="B20" s="3" t="inlineStr">
        <is>
          <t>Introduction to IBM Storage Ceph</t>
        </is>
      </c>
      <c r="C20" s="4">
        <f>HYPERLINK("https://www.ibm.com/docs/en/storage-ceph/9.9.1?topic=introduction-storage-ceph","https://www.ibm.com/docs/en/storage-ceph/9.9.1?topic=introduction-storage-ceph")</f>
        <v/>
      </c>
    </row>
    <row r="21" ht="18" customHeight="1">
      <c r="A21" s="2" t="inlineStr">
        <is>
          <t>7</t>
        </is>
      </c>
      <c r="B21" s="3" t="inlineStr">
        <is>
          <t>Contacting IBM Storage Ceph support</t>
        </is>
      </c>
      <c r="C21" s="4">
        <f>HYPERLINK("https://www.ibm.com/docs/en/storage-ceph/9.9.1?topic=contacting-storage-ceph-support","https://www.ibm.com/docs/en/storage-ceph/9.9.1?topic=contacting-storage-ceph-support")</f>
        <v/>
      </c>
    </row>
    <row r="22" ht="18" customHeight="1">
      <c r="A22" s="5" t="inlineStr">
        <is>
          <t>7.1</t>
        </is>
      </c>
      <c r="B22" s="6" t="inlineStr">
        <is>
          <t xml:space="preserve">  Generating readable core dump files</t>
        </is>
      </c>
      <c r="C22" s="7">
        <f>HYPERLINK("https://www.ibm.com/docs/en/storage-ceph/9.9.1?topic=support-generating-readable-core-dump-files","https://www.ibm.com/docs/en/storage-ceph/9.9.1?topic=support-generating-readable-core-dump-files")</f>
        <v/>
      </c>
    </row>
    <row r="23" ht="18" customHeight="1">
      <c r="A23" s="5" t="inlineStr">
        <is>
          <t>7.2</t>
        </is>
      </c>
      <c r="B23" s="6" t="inlineStr">
        <is>
          <t xml:space="preserve">  Providing information for support</t>
        </is>
      </c>
      <c r="C23" s="7">
        <f>HYPERLINK("https://www.ibm.com/docs/en/storage-ceph/9.9.1?topic=support-providing-information","https://www.ibm.com/docs/en/storage-ceph/9.9.1?topic=support-providing-information")</f>
        <v/>
      </c>
    </row>
    <row r="24" ht="18" customHeight="1">
      <c r="A24" s="2" t="inlineStr">
        <is>
          <t>8</t>
        </is>
      </c>
      <c r="B24" s="3" t="inlineStr">
        <is>
          <t>Licensing and support</t>
        </is>
      </c>
      <c r="C24" s="4">
        <f>HYPERLINK("https://www.ibm.com/docs/en/storage-ceph/9.9.1?topic=licensing-support","https://www.ibm.com/docs/en/storage-ceph/9.9.1?topic=licensing-support")</f>
        <v/>
      </c>
    </row>
    <row r="25" ht="18" customHeight="1">
      <c r="A25" s="5" t="inlineStr">
        <is>
          <t>8.1</t>
        </is>
      </c>
      <c r="B25" s="6" t="inlineStr">
        <is>
          <t xml:space="preserve">  Licensing</t>
        </is>
      </c>
      <c r="C25" s="7">
        <f>HYPERLINK("https://www.ibm.com/docs/en/storage-ceph/9.9.1?topic=support-licensing","https://www.ibm.com/docs/en/storage-ceph/9.9.1?topic=support-licensing")</f>
        <v/>
      </c>
    </row>
    <row r="26" ht="18" customHeight="1">
      <c r="A26" s="5" t="inlineStr">
        <is>
          <t>8.2</t>
        </is>
      </c>
      <c r="B26" s="6" t="inlineStr">
        <is>
          <t xml:space="preserve">  Support</t>
        </is>
      </c>
      <c r="C26" s="7">
        <f>HYPERLINK("https://www.ibm.com/docs/en/storage-ceph/9.9.1?topic=support-","https://www.ibm.com/docs/en/storage-ceph/9.9.1?topic=support-")</f>
        <v/>
      </c>
    </row>
    <row r="27" ht="18" customHeight="1">
      <c r="A27" s="2" t="inlineStr">
        <is>
          <t>9</t>
        </is>
      </c>
      <c r="B27" s="3" t="inlineStr">
        <is>
          <t>Getting started</t>
        </is>
      </c>
      <c r="C27" s="4">
        <f>HYPERLINK("https://www.ibm.com/docs/en/storage-ceph/9.9.1?topic=getting-started","https://www.ibm.com/docs/en/storage-ceph/9.9.1?topic=getting-started")</f>
        <v/>
      </c>
    </row>
    <row r="28" ht="18" customHeight="1">
      <c r="A28" s="5" t="inlineStr">
        <is>
          <t>9.1</t>
        </is>
      </c>
      <c r="B28" s="6" t="inlineStr">
        <is>
          <t xml:space="preserve">  Frequently accessed topics</t>
        </is>
      </c>
      <c r="C28" s="7">
        <f>HYPERLINK("https://www.ibm.com/docs/en/storage-ceph/9.9.1?topic=started-frequently-accessed-topics","https://www.ibm.com/docs/en/storage-ceph/9.9.1?topic=started-frequently-accessed-topics")</f>
        <v/>
      </c>
    </row>
    <row r="29" ht="18" customHeight="1">
      <c r="A29" s="5" t="inlineStr">
        <is>
          <t>9.2</t>
        </is>
      </c>
      <c r="B29" s="6" t="inlineStr">
        <is>
          <t xml:space="preserve">  Object storage</t>
        </is>
      </c>
      <c r="C29" s="7">
        <f>HYPERLINK("https://www.ibm.com/docs/en/storage-ceph/9.9.1?topic=started-object-storage","https://www.ibm.com/docs/en/storage-ceph/9.9.1?topic=started-object-storage")</f>
        <v/>
      </c>
    </row>
    <row r="30" ht="18" customHeight="1">
      <c r="A30" s="8" t="inlineStr">
        <is>
          <t>9.2.1</t>
        </is>
      </c>
      <c r="B30" s="9" t="inlineStr">
        <is>
          <t xml:space="preserve">    Getting started with object storage</t>
        </is>
      </c>
      <c r="C30" s="10">
        <f>HYPERLINK("https://www.ibm.com/docs/en/storage-ceph/9.9.1?topic=storage-getting-started-object","https://www.ibm.com/docs/en/storage-ceph/9.9.1?topic=storage-getting-started-object")</f>
        <v/>
      </c>
    </row>
    <row r="31" ht="18" customHeight="1">
      <c r="A31" s="5" t="inlineStr">
        <is>
          <t>9.3</t>
        </is>
      </c>
      <c r="B31" s="6" t="inlineStr">
        <is>
          <t xml:space="preserve">  Block storage</t>
        </is>
      </c>
      <c r="C31" s="7">
        <f>HYPERLINK("https://www.ibm.com/docs/en/storage-ceph/9.9.1?topic=started-block-storage","https://www.ibm.com/docs/en/storage-ceph/9.9.1?topic=started-block-storage")</f>
        <v/>
      </c>
    </row>
    <row r="32" ht="18" customHeight="1">
      <c r="A32" s="8" t="inlineStr">
        <is>
          <t>9.3.1</t>
        </is>
      </c>
      <c r="B32" s="9" t="inlineStr">
        <is>
          <t xml:space="preserve">    Getting started with block storage</t>
        </is>
      </c>
      <c r="C32" s="10">
        <f>HYPERLINK("https://www.ibm.com/docs/en/storage-ceph/9.9.1?topic=storage-getting-started-block","https://www.ibm.com/docs/en/storage-ceph/9.9.1?topic=storage-getting-started-block")</f>
        <v/>
      </c>
    </row>
    <row r="33" ht="18" customHeight="1">
      <c r="A33" s="5" t="inlineStr">
        <is>
          <t>9.4</t>
        </is>
      </c>
      <c r="B33" s="6" t="inlineStr">
        <is>
          <t xml:space="preserve">  File storage</t>
        </is>
      </c>
      <c r="C33" s="7">
        <f>HYPERLINK("https://www.ibm.com/docs/en/storage-ceph/9.9.1?topic=started-file-storage","https://www.ibm.com/docs/en/storage-ceph/9.9.1?topic=started-file-storage")</f>
        <v/>
      </c>
    </row>
    <row r="34" ht="18" customHeight="1">
      <c r="A34" s="8" t="inlineStr">
        <is>
          <t>9.4.1</t>
        </is>
      </c>
      <c r="B34" s="9" t="inlineStr">
        <is>
          <t xml:space="preserve">    Getting started with file storage</t>
        </is>
      </c>
      <c r="C34" s="10">
        <f>HYPERLINK("https://www.ibm.com/docs/en/storage-ceph/9.9.1?topic=storage-getting-started-file","https://www.ibm.com/docs/en/storage-ceph/9.9.1?topic=storage-getting-started-file")</f>
        <v/>
      </c>
    </row>
    <row r="35" ht="18" customHeight="1">
      <c r="A35" s="2" t="inlineStr">
        <is>
          <t>10</t>
        </is>
      </c>
      <c r="B35" s="3" t="inlineStr">
        <is>
          <t>Overview</t>
        </is>
      </c>
      <c r="C35" s="4">
        <f>HYPERLINK("https://www.ibm.com/docs/en/storage-ceph/9.9.1?topic=overview","https://www.ibm.com/docs/en/storage-ceph/9.9.1?topic=overview")</f>
        <v/>
      </c>
    </row>
    <row r="36" ht="18" customHeight="1">
      <c r="A36" s="5" t="inlineStr">
        <is>
          <t>10.1</t>
        </is>
      </c>
      <c r="B36" s="6" t="inlineStr">
        <is>
          <t xml:space="preserve">  Understanding IBM Storage Ceph terminology</t>
        </is>
      </c>
      <c r="C36" s="7">
        <f>HYPERLINK("https://www.ibm.com/docs/en/storage-ceph/9.9.1?topic=overview-understanding-storage-ceph-terminology","https://www.ibm.com/docs/en/storage-ceph/9.9.1?topic=overview-understanding-storage-ceph-terminology")</f>
        <v/>
      </c>
    </row>
    <row r="37" ht="18" customHeight="1">
      <c r="A37" s="5" t="inlineStr">
        <is>
          <t>10.2</t>
        </is>
      </c>
      <c r="B37" s="6" t="inlineStr">
        <is>
          <t xml:space="preserve">  Architecture</t>
        </is>
      </c>
      <c r="C37" s="7">
        <f>HYPERLINK("https://www.ibm.com/docs/en/storage-ceph/9.9.1?topic=overview-architecture","https://www.ibm.com/docs/en/storage-ceph/9.9.1?topic=overview-architecture")</f>
        <v/>
      </c>
    </row>
    <row r="38" ht="18" customHeight="1">
      <c r="A38" s="8" t="inlineStr">
        <is>
          <t>10.2.1</t>
        </is>
      </c>
      <c r="B38" s="9" t="inlineStr">
        <is>
          <t xml:space="preserve">    Ceph architecture</t>
        </is>
      </c>
      <c r="C38" s="10">
        <f>HYPERLINK("https://www.ibm.com/docs/en/storage-ceph/9.9.1?topic=architecture-ceph","https://www.ibm.com/docs/en/storage-ceph/9.9.1?topic=architecture-ceph")</f>
        <v/>
      </c>
    </row>
    <row r="39" ht="18" customHeight="1">
      <c r="A39" s="8" t="inlineStr">
        <is>
          <t>10.2.2</t>
        </is>
      </c>
      <c r="B39" s="9" t="inlineStr">
        <is>
          <t xml:space="preserve">    Ceph client components</t>
        </is>
      </c>
      <c r="C39" s="10">
        <f>HYPERLINK("https://www.ibm.com/docs/en/storage-ceph/9.9.1?topic=architecture-ceph-client-components","https://www.ibm.com/docs/en/storage-ceph/9.9.1?topic=architecture-ceph-client-components")</f>
        <v/>
      </c>
    </row>
    <row r="40" ht="18" customHeight="1">
      <c r="A40" s="8" t="inlineStr">
        <is>
          <t>10.2.2.1</t>
        </is>
      </c>
      <c r="B40" s="9" t="inlineStr">
        <is>
          <t xml:space="preserve">      Prerequisites</t>
        </is>
      </c>
      <c r="C40" s="10">
        <f>HYPERLINK("https://www.ibm.com/docs/en/storage-ceph/9.9.1?topic=components-prerequisites","https://www.ibm.com/docs/en/storage-ceph/9.9.1?topic=components-prerequisites")</f>
        <v/>
      </c>
    </row>
    <row r="41" ht="18" customHeight="1">
      <c r="A41" s="8" t="inlineStr">
        <is>
          <t>10.2.2.2</t>
        </is>
      </c>
      <c r="B41" s="9" t="inlineStr">
        <is>
          <t xml:space="preserve">      Ceph client native protocol</t>
        </is>
      </c>
      <c r="C41" s="10">
        <f>HYPERLINK("https://www.ibm.com/docs/en/storage-ceph/9.9.1?topic=components-ceph-client-native-protocol","https://www.ibm.com/docs/en/storage-ceph/9.9.1?topic=components-ceph-client-native-protocol")</f>
        <v/>
      </c>
    </row>
    <row r="42" ht="18" customHeight="1">
      <c r="A42" s="8" t="inlineStr">
        <is>
          <t>10.2.2.3</t>
        </is>
      </c>
      <c r="B42" s="9" t="inlineStr">
        <is>
          <t xml:space="preserve">      Ceph client object watch and notify</t>
        </is>
      </c>
      <c r="C42" s="10">
        <f>HYPERLINK("https://www.ibm.com/docs/en/storage-ceph/9.9.1?topic=components-ceph-client-object-watch-notify","https://www.ibm.com/docs/en/storage-ceph/9.9.1?topic=components-ceph-client-object-watch-notify")</f>
        <v/>
      </c>
    </row>
    <row r="43" ht="18" customHeight="1">
      <c r="A43" s="8" t="inlineStr">
        <is>
          <t>10.2.2.4</t>
        </is>
      </c>
      <c r="B43" s="9" t="inlineStr">
        <is>
          <t xml:space="preserve">      Ceph client Mandatory Exclusive Locks</t>
        </is>
      </c>
      <c r="C43" s="10">
        <f>HYPERLINK("https://www.ibm.com/docs/en/storage-ceph/9.9.1?topic=components-ceph-client-mandatory-exclusive-locks","https://www.ibm.com/docs/en/storage-ceph/9.9.1?topic=components-ceph-client-mandatory-exclusive-locks")</f>
        <v/>
      </c>
    </row>
    <row r="44" ht="18" customHeight="1">
      <c r="A44" s="8" t="inlineStr">
        <is>
          <t>10.2.2.5</t>
        </is>
      </c>
      <c r="B44" s="9" t="inlineStr">
        <is>
          <t xml:space="preserve">      Ceph client object map</t>
        </is>
      </c>
      <c r="C44" s="10">
        <f>HYPERLINK("https://www.ibm.com/docs/en/storage-ceph/9.9.1?topic=components-ceph-client-object-map","https://www.ibm.com/docs/en/storage-ceph/9.9.1?topic=components-ceph-client-object-map")</f>
        <v/>
      </c>
    </row>
    <row r="45" ht="18" customHeight="1">
      <c r="A45" s="8" t="inlineStr">
        <is>
          <t>10.2.2.6</t>
        </is>
      </c>
      <c r="B45" s="9" t="inlineStr">
        <is>
          <t xml:space="preserve">      Ceph client data striping</t>
        </is>
      </c>
      <c r="C45" s="10">
        <f>HYPERLINK("https://www.ibm.com/docs/en/storage-ceph/9.9.1?topic=components-ceph-client-data-striping","https://www.ibm.com/docs/en/storage-ceph/9.9.1?topic=components-ceph-client-data-striping")</f>
        <v/>
      </c>
    </row>
    <row r="46" ht="18" customHeight="1">
      <c r="A46" s="8" t="inlineStr">
        <is>
          <t>10.2.2.7</t>
        </is>
      </c>
      <c r="B46" s="9" t="inlineStr">
        <is>
          <t xml:space="preserve">      Ceph on-wire encryption</t>
        </is>
      </c>
      <c r="C46" s="10">
        <f>HYPERLINK("https://www.ibm.com/docs/en/storage-ceph/9.9.1?topic=components-ceph-wire-encryption","https://www.ibm.com/docs/en/storage-ceph/9.9.1?topic=components-ceph-wire-encryption")</f>
        <v/>
      </c>
    </row>
    <row r="47" ht="18" customHeight="1">
      <c r="A47" s="8" t="inlineStr">
        <is>
          <t>10.2.3</t>
        </is>
      </c>
      <c r="B47" s="9" t="inlineStr">
        <is>
          <t xml:space="preserve">    Core Ceph components</t>
        </is>
      </c>
      <c r="C47" s="10">
        <f>HYPERLINK("https://www.ibm.com/docs/en/storage-ceph/9.9.1?topic=architecture-core-ceph-components","https://www.ibm.com/docs/en/storage-ceph/9.9.1?topic=architecture-core-ceph-components")</f>
        <v/>
      </c>
    </row>
    <row r="48" ht="18" customHeight="1">
      <c r="A48" s="8" t="inlineStr">
        <is>
          <t>10.2.3.1</t>
        </is>
      </c>
      <c r="B48" s="9" t="inlineStr">
        <is>
          <t xml:space="preserve">      Prerequisites</t>
        </is>
      </c>
      <c r="C48" s="10">
        <f>HYPERLINK("https://www.ibm.com/docs/en/storage-ceph/9.9.1?topic=ccc-prerequisites","https://www.ibm.com/docs/en/storage-ceph/9.9.1?topic=ccc-prerequisites")</f>
        <v/>
      </c>
    </row>
    <row r="49" ht="18" customHeight="1">
      <c r="A49" s="8" t="inlineStr">
        <is>
          <t>10.2.3.2</t>
        </is>
      </c>
      <c r="B49" s="9" t="inlineStr">
        <is>
          <t xml:space="preserve">      Pools</t>
        </is>
      </c>
      <c r="C49" s="10">
        <f>HYPERLINK("https://www.ibm.com/docs/en/storage-ceph/9.9.1?topic=components-pools","https://www.ibm.com/docs/en/storage-ceph/9.9.1?topic=components-pools")</f>
        <v/>
      </c>
    </row>
    <row r="50" ht="18" customHeight="1">
      <c r="A50" s="8" t="inlineStr">
        <is>
          <t>10.2.3.3</t>
        </is>
      </c>
      <c r="B50" s="9" t="inlineStr">
        <is>
          <t xml:space="preserve">      Ceph authentication</t>
        </is>
      </c>
      <c r="C50" s="10">
        <f>HYPERLINK("https://www.ibm.com/docs/en/storage-ceph/9.9.1?topic=components-ceph-authentication","https://www.ibm.com/docs/en/storage-ceph/9.9.1?topic=components-ceph-authentication")</f>
        <v/>
      </c>
    </row>
    <row r="51" ht="18" customHeight="1">
      <c r="A51" s="8" t="inlineStr">
        <is>
          <t>10.2.3.4</t>
        </is>
      </c>
      <c r="B51" s="9" t="inlineStr">
        <is>
          <t xml:space="preserve">      Placement groups</t>
        </is>
      </c>
      <c r="C51" s="10">
        <f>HYPERLINK("https://www.ibm.com/docs/en/storage-ceph/9.9.1?topic=components-placement-groups","https://www.ibm.com/docs/en/storage-ceph/9.9.1?topic=components-placement-groups")</f>
        <v/>
      </c>
    </row>
    <row r="52" ht="18" customHeight="1">
      <c r="A52" s="8" t="inlineStr">
        <is>
          <t>10.2.3.5</t>
        </is>
      </c>
      <c r="B52" s="9" t="inlineStr">
        <is>
          <t xml:space="preserve">      CRUSH ruleset</t>
        </is>
      </c>
      <c r="C52" s="10">
        <f>HYPERLINK("https://www.ibm.com/docs/en/storage-ceph/9.9.1?topic=components-crush-ruleset","https://www.ibm.com/docs/en/storage-ceph/9.9.1?topic=components-crush-ruleset")</f>
        <v/>
      </c>
    </row>
    <row r="53" ht="18" customHeight="1">
      <c r="A53" s="8" t="inlineStr">
        <is>
          <t>10.2.3.6</t>
        </is>
      </c>
      <c r="B53" s="9" t="inlineStr">
        <is>
          <t xml:space="preserve">      Input/output operations</t>
        </is>
      </c>
      <c r="C53" s="10">
        <f>HYPERLINK("https://www.ibm.com/docs/en/storage-ceph/9.9.1?topic=components-inputoutput-operations","https://www.ibm.com/docs/en/storage-ceph/9.9.1?topic=components-inputoutput-operations")</f>
        <v/>
      </c>
    </row>
    <row r="54" ht="18" customHeight="1">
      <c r="A54" s="8" t="inlineStr">
        <is>
          <t>10.2.3.7</t>
        </is>
      </c>
      <c r="B54" s="9" t="inlineStr">
        <is>
          <t xml:space="preserve">      Replication</t>
        </is>
      </c>
      <c r="C54" s="10">
        <f>HYPERLINK("https://www.ibm.com/docs/en/storage-ceph/9.9.1?topic=components-replication","https://www.ibm.com/docs/en/storage-ceph/9.9.1?topic=components-replication")</f>
        <v/>
      </c>
    </row>
    <row r="55" ht="18" customHeight="1">
      <c r="A55" s="8" t="inlineStr">
        <is>
          <t>10.2.3.8</t>
        </is>
      </c>
      <c r="B55" s="9" t="inlineStr">
        <is>
          <t xml:space="preserve">      Erasure-coding</t>
        </is>
      </c>
      <c r="C55" s="10">
        <f>HYPERLINK("https://www.ibm.com/docs/en/storage-ceph/9.9.1?topic=components-erasure-coding","https://www.ibm.com/docs/en/storage-ceph/9.9.1?topic=components-erasure-coding")</f>
        <v/>
      </c>
    </row>
    <row r="56" ht="18" customHeight="1">
      <c r="A56" s="8" t="inlineStr">
        <is>
          <t>10.2.3.9</t>
        </is>
      </c>
      <c r="B56" s="9" t="inlineStr">
        <is>
          <t xml:space="preserve">      ObjectStore</t>
        </is>
      </c>
      <c r="C56" s="10">
        <f>HYPERLINK("https://www.ibm.com/docs/en/storage-ceph/9.9.1?topic=components-objectstore","https://www.ibm.com/docs/en/storage-ceph/9.9.1?topic=components-objectstore")</f>
        <v/>
      </c>
    </row>
    <row r="57" ht="18" customHeight="1">
      <c r="A57" s="8" t="inlineStr">
        <is>
          <t>10.2.3.10</t>
        </is>
      </c>
      <c r="B57" s="9" t="inlineStr">
        <is>
          <t xml:space="preserve">      BlueStore</t>
        </is>
      </c>
      <c r="C57" s="10">
        <f>HYPERLINK("https://www.ibm.com/docs/en/storage-ceph/9.9.1?topic=components-bluestore","https://www.ibm.com/docs/en/storage-ceph/9.9.1?topic=components-bluestore")</f>
        <v/>
      </c>
    </row>
    <row r="58" ht="18" customHeight="1">
      <c r="A58" s="8" t="inlineStr">
        <is>
          <t>10.2.3.11</t>
        </is>
      </c>
      <c r="B58" s="9" t="inlineStr">
        <is>
          <t xml:space="preserve">      Self management operations</t>
        </is>
      </c>
      <c r="C58" s="10">
        <f>HYPERLINK("https://www.ibm.com/docs/en/storage-ceph/9.9.1?topic=components-self-management-operations","https://www.ibm.com/docs/en/storage-ceph/9.9.1?topic=components-self-management-operations")</f>
        <v/>
      </c>
    </row>
    <row r="59" ht="18" customHeight="1">
      <c r="A59" s="8" t="inlineStr">
        <is>
          <t>10.2.3.12</t>
        </is>
      </c>
      <c r="B59" s="9" t="inlineStr">
        <is>
          <t xml:space="preserve">      Heartbeat</t>
        </is>
      </c>
      <c r="C59" s="10">
        <f>HYPERLINK("https://www.ibm.com/docs/en/storage-ceph/9.9.1?topic=components-heartbeat","https://www.ibm.com/docs/en/storage-ceph/9.9.1?topic=components-heartbeat")</f>
        <v/>
      </c>
    </row>
    <row r="60" ht="18" customHeight="1">
      <c r="A60" s="8" t="inlineStr">
        <is>
          <t>10.2.3.13</t>
        </is>
      </c>
      <c r="B60" s="9" t="inlineStr">
        <is>
          <t xml:space="preserve">      Peering</t>
        </is>
      </c>
      <c r="C60" s="10">
        <f>HYPERLINK("https://www.ibm.com/docs/en/storage-ceph/9.9.1?topic=components-peering","https://www.ibm.com/docs/en/storage-ceph/9.9.1?topic=components-peering")</f>
        <v/>
      </c>
    </row>
    <row r="61" ht="18" customHeight="1">
      <c r="A61" s="8" t="inlineStr">
        <is>
          <t>10.2.3.14</t>
        </is>
      </c>
      <c r="B61" s="9" t="inlineStr">
        <is>
          <t xml:space="preserve">      Rebalancing and recovery</t>
        </is>
      </c>
      <c r="C61" s="10">
        <f>HYPERLINK("https://www.ibm.com/docs/en/storage-ceph/9.9.1?topic=components-rebalancing-recovery","https://www.ibm.com/docs/en/storage-ceph/9.9.1?topic=components-rebalancing-recovery")</f>
        <v/>
      </c>
    </row>
    <row r="62" ht="18" customHeight="1">
      <c r="A62" s="8" t="inlineStr">
        <is>
          <t>10.2.3.15</t>
        </is>
      </c>
      <c r="B62" s="9" t="inlineStr">
        <is>
          <t xml:space="preserve">      Data integrity</t>
        </is>
      </c>
      <c r="C62" s="10">
        <f>HYPERLINK("https://www.ibm.com/docs/en/storage-ceph/9.9.1?topic=components-data-integrity","https://www.ibm.com/docs/en/storage-ceph/9.9.1?topic=components-data-integrity")</f>
        <v/>
      </c>
    </row>
    <row r="63" ht="18" customHeight="1">
      <c r="A63" s="8" t="inlineStr">
        <is>
          <t>10.2.3.16</t>
        </is>
      </c>
      <c r="B63" s="9" t="inlineStr">
        <is>
          <t xml:space="preserve">      High availability</t>
        </is>
      </c>
      <c r="C63" s="10">
        <f>HYPERLINK("https://www.ibm.com/docs/en/storage-ceph/9.9.1?topic=components-high-availability","https://www.ibm.com/docs/en/storage-ceph/9.9.1?topic=components-high-availability")</f>
        <v/>
      </c>
    </row>
    <row r="64" ht="18" customHeight="1">
      <c r="A64" s="8" t="inlineStr">
        <is>
          <t>10.2.3.17</t>
        </is>
      </c>
      <c r="B64" s="9" t="inlineStr">
        <is>
          <t xml:space="preserve">      Clustering the Ceph Monitor</t>
        </is>
      </c>
      <c r="C64" s="10">
        <f>HYPERLINK("https://www.ibm.com/docs/en/storage-ceph/9.9.1?topic=components-clustering-ceph-monitor","https://www.ibm.com/docs/en/storage-ceph/9.9.1?topic=components-clustering-ceph-monitor")</f>
        <v/>
      </c>
    </row>
    <row r="65" ht="18" customHeight="1">
      <c r="A65" s="5" t="inlineStr">
        <is>
          <t>10.3</t>
        </is>
      </c>
      <c r="B65" s="6" t="inlineStr">
        <is>
          <t xml:space="preserve">  Data security and hardening</t>
        </is>
      </c>
      <c r="C65" s="7">
        <f>HYPERLINK("https://www.ibm.com/docs/en/storage-ceph/9.9.1?topic=overview-data-security-hardening","https://www.ibm.com/docs/en/storage-ceph/9.9.1?topic=overview-data-security-hardening")</f>
        <v/>
      </c>
    </row>
    <row r="66" ht="18" customHeight="1">
      <c r="A66" s="8" t="inlineStr">
        <is>
          <t>10.3.1</t>
        </is>
      </c>
      <c r="B66" s="9" t="inlineStr">
        <is>
          <t xml:space="preserve">    Introduction to IBM Storage Ceph</t>
        </is>
      </c>
      <c r="C66" s="10">
        <f>HYPERLINK("https://www.ibm.com/docs/en/storage-ceph/9.9.1?topic=hardening-introduction-storage-ceph","https://www.ibm.com/docs/en/storage-ceph/9.9.1?topic=hardening-introduction-storage-ceph")</f>
        <v/>
      </c>
    </row>
    <row r="67" ht="18" customHeight="1">
      <c r="A67" s="8" t="inlineStr">
        <is>
          <t>10.3.2</t>
        </is>
      </c>
      <c r="B67" s="9" t="inlineStr">
        <is>
          <t xml:space="preserve">    Supporting software</t>
        </is>
      </c>
      <c r="C67" s="10">
        <f>HYPERLINK("https://www.ibm.com/docs/en/storage-ceph/9.9.1?topic=hardening-supporting-software","https://www.ibm.com/docs/en/storage-ceph/9.9.1?topic=hardening-supporting-software")</f>
        <v/>
      </c>
    </row>
    <row r="68" ht="18" customHeight="1">
      <c r="A68" s="8" t="inlineStr">
        <is>
          <t>10.3.3</t>
        </is>
      </c>
      <c r="B68" s="9" t="inlineStr">
        <is>
          <t xml:space="preserve">    Threat and vulnerability management</t>
        </is>
      </c>
      <c r="C68" s="10">
        <f>HYPERLINK("https://www.ibm.com/docs/en/storage-ceph/9.9.1?topic=hardening-threat-vulnerability-management","https://www.ibm.com/docs/en/storage-ceph/9.9.1?topic=hardening-threat-vulnerability-management")</f>
        <v/>
      </c>
    </row>
    <row r="69" ht="18" customHeight="1">
      <c r="A69" s="8" t="inlineStr">
        <is>
          <t>10.3.3.1</t>
        </is>
      </c>
      <c r="B69" s="9" t="inlineStr">
        <is>
          <t xml:space="preserve">      Threat actors</t>
        </is>
      </c>
      <c r="C69" s="10">
        <f>HYPERLINK("https://www.ibm.com/docs/en/storage-ceph/9.9.1?topic=management-threat-actors","https://www.ibm.com/docs/en/storage-ceph/9.9.1?topic=management-threat-actors")</f>
        <v/>
      </c>
    </row>
    <row r="70" ht="18" customHeight="1">
      <c r="A70" s="8" t="inlineStr">
        <is>
          <t>10.3.3.2</t>
        </is>
      </c>
      <c r="B70" s="9" t="inlineStr">
        <is>
          <t xml:space="preserve">      Security zones</t>
        </is>
      </c>
      <c r="C70" s="10">
        <f>HYPERLINK("https://www.ibm.com/docs/en/storage-ceph/9.9.1?topic=management-security-zones","https://www.ibm.com/docs/en/storage-ceph/9.9.1?topic=management-security-zones")</f>
        <v/>
      </c>
    </row>
    <row r="71" ht="18" customHeight="1">
      <c r="A71" s="8" t="inlineStr">
        <is>
          <t>10.3.3.3</t>
        </is>
      </c>
      <c r="B71" s="9" t="inlineStr">
        <is>
          <t xml:space="preserve">      Connecting security zones</t>
        </is>
      </c>
      <c r="C71" s="10">
        <f>HYPERLINK("https://www.ibm.com/docs/en/storage-ceph/9.9.1?topic=management-connecting-security-zones","https://www.ibm.com/docs/en/storage-ceph/9.9.1?topic=management-connecting-security-zones")</f>
        <v/>
      </c>
    </row>
    <row r="72" ht="18" customHeight="1">
      <c r="A72" s="8" t="inlineStr">
        <is>
          <t>10.3.3.4</t>
        </is>
      </c>
      <c r="B72" s="9" t="inlineStr">
        <is>
          <t xml:space="preserve">      Security-optimized architecture</t>
        </is>
      </c>
      <c r="C72" s="10">
        <f>HYPERLINK("https://www.ibm.com/docs/en/storage-ceph/9.9.1?topic=management-security-optimized-architecture","https://www.ibm.com/docs/en/storage-ceph/9.9.1?topic=management-security-optimized-architecture")</f>
        <v/>
      </c>
    </row>
    <row r="73" ht="18" customHeight="1">
      <c r="A73" s="8" t="inlineStr">
        <is>
          <t>10.3.4</t>
        </is>
      </c>
      <c r="B73" s="9" t="inlineStr">
        <is>
          <t xml:space="preserve">    Encryption and key management</t>
        </is>
      </c>
      <c r="C73" s="10">
        <f>HYPERLINK("https://www.ibm.com/docs/en/storage-ceph/9.9.1?topic=hardening-encryption-key-management","https://www.ibm.com/docs/en/storage-ceph/9.9.1?topic=hardening-encryption-key-management")</f>
        <v/>
      </c>
    </row>
    <row r="74" ht="18" customHeight="1">
      <c r="A74" s="8" t="inlineStr">
        <is>
          <t>10.3.4.1</t>
        </is>
      </c>
      <c r="B74" s="9" t="inlineStr">
        <is>
          <t xml:space="preserve">      SSH</t>
        </is>
      </c>
      <c r="C74" s="10">
        <f>HYPERLINK("https://www.ibm.com/docs/en/storage-ceph/9.9.1?topic=management-ssh","https://www.ibm.com/docs/en/storage-ceph/9.9.1?topic=management-ssh")</f>
        <v/>
      </c>
    </row>
    <row r="75" ht="18" customHeight="1">
      <c r="A75" s="8" t="inlineStr">
        <is>
          <t>10.3.4.2</t>
        </is>
      </c>
      <c r="B75" s="9" t="inlineStr">
        <is>
          <t xml:space="preserve">      SSL Termination</t>
        </is>
      </c>
      <c r="C75" s="10">
        <f>HYPERLINK("https://www.ibm.com/docs/en/storage-ceph/9.9.1?topic=management-ssl-termination","https://www.ibm.com/docs/en/storage-ceph/9.9.1?topic=management-ssl-termination")</f>
        <v/>
      </c>
    </row>
    <row r="76" ht="18" customHeight="1">
      <c r="A76" s="8" t="inlineStr">
        <is>
          <t>10.3.4.3</t>
        </is>
      </c>
      <c r="B76" s="9" t="inlineStr">
        <is>
          <t xml:space="preserve">      Messenger v2 protocol</t>
        </is>
      </c>
      <c r="C76" s="10">
        <f>HYPERLINK("https://www.ibm.com/docs/en/storage-ceph/9.9.1?topic=management-messenger-v2-protocol","https://www.ibm.com/docs/en/storage-ceph/9.9.1?topic=management-messenger-v2-protocol")</f>
        <v/>
      </c>
    </row>
    <row r="77" ht="18" customHeight="1">
      <c r="A77" s="8" t="inlineStr">
        <is>
          <t>10.3.4.4</t>
        </is>
      </c>
      <c r="B77" s="9" t="inlineStr">
        <is>
          <t xml:space="preserve">      Encryption in transit</t>
        </is>
      </c>
      <c r="C77" s="10">
        <f>HYPERLINK("https://www.ibm.com/docs/en/storage-ceph/9.9.1?topic=management-encryption-in-transit","https://www.ibm.com/docs/en/storage-ceph/9.9.1?topic=management-encryption-in-transit")</f>
        <v/>
      </c>
    </row>
    <row r="78" ht="18" customHeight="1">
      <c r="A78" s="8" t="inlineStr">
        <is>
          <t>10.3.4.5</t>
        </is>
      </c>
      <c r="B78" s="9" t="inlineStr">
        <is>
          <t xml:space="preserve">      Compression modes of messenger v2 protocol</t>
        </is>
      </c>
      <c r="C78" s="10">
        <f>HYPERLINK("https://www.ibm.com/docs/en/storage-ceph/9.9.1?topic=management-compression-modes-messenger-v2-protocol","https://www.ibm.com/docs/en/storage-ceph/9.9.1?topic=management-compression-modes-messenger-v2-protocol")</f>
        <v/>
      </c>
    </row>
    <row r="79" ht="18" customHeight="1">
      <c r="A79" s="8" t="inlineStr">
        <is>
          <t>10.3.4.6</t>
        </is>
      </c>
      <c r="B79" s="9" t="inlineStr">
        <is>
          <t xml:space="preserve">      Encryption at Rest</t>
        </is>
      </c>
      <c r="C79" s="10">
        <f>HYPERLINK("https://www.ibm.com/docs/en/storage-ceph/9.9.1?topic=management-encryption-rest","https://www.ibm.com/docs/en/storage-ceph/9.9.1?topic=management-encryption-rest")</f>
        <v/>
      </c>
    </row>
    <row r="80" ht="18" customHeight="1">
      <c r="A80" s="8" t="inlineStr">
        <is>
          <t>10.3.4.7</t>
        </is>
      </c>
      <c r="B80" s="9" t="inlineStr">
        <is>
          <t xml:space="preserve">      Enabling key rotation</t>
        </is>
      </c>
      <c r="C80" s="10">
        <f>HYPERLINK("https://www.ibm.com/docs/en/storage-ceph/9.9.1?topic=management-enabling-key-rotation","https://www.ibm.com/docs/en/storage-ceph/9.9.1?topic=management-enabling-key-rotation")</f>
        <v/>
      </c>
    </row>
    <row r="81" ht="18" customHeight="1">
      <c r="A81" s="8" t="inlineStr">
        <is>
          <t>10.3.4.7.1</t>
        </is>
      </c>
      <c r="B81" s="9" t="inlineStr">
        <is>
          <t xml:space="preserve">        CephX key rotation</t>
        </is>
      </c>
      <c r="C81" s="10">
        <f>HYPERLINK("https://www.ibm.com/docs/en/storage-ceph/9.9.1?topic=rotation-cephx-key","https://www.ibm.com/docs/en/storage-ceph/9.9.1?topic=rotation-cephx-key")</f>
        <v/>
      </c>
    </row>
    <row r="82" ht="18" customHeight="1">
      <c r="A82" s="8" t="inlineStr">
        <is>
          <t>10.3.5</t>
        </is>
      </c>
      <c r="B82" s="9" t="inlineStr">
        <is>
          <t xml:space="preserve">    Identity and access management</t>
        </is>
      </c>
      <c r="C82" s="10">
        <f>HYPERLINK("https://www.ibm.com/docs/en/storage-ceph/9.9.1?topic=hardening-identity-access-management","https://www.ibm.com/docs/en/storage-ceph/9.9.1?topic=hardening-identity-access-management")</f>
        <v/>
      </c>
    </row>
    <row r="83" ht="18" customHeight="1">
      <c r="A83" s="8" t="inlineStr">
        <is>
          <t>10.3.5.1</t>
        </is>
      </c>
      <c r="B83" s="9" t="inlineStr">
        <is>
          <t xml:space="preserve">      Ceph Storage cluster user access</t>
        </is>
      </c>
      <c r="C83" s="10">
        <f>HYPERLINK("https://www.ibm.com/docs/en/storage-ceph/9.9.1?topic=management-ceph-storage-cluster-user-access","https://www.ibm.com/docs/en/storage-ceph/9.9.1?topic=management-ceph-storage-cluster-user-access")</f>
        <v/>
      </c>
    </row>
    <row r="84" ht="18" customHeight="1">
      <c r="A84" s="8" t="inlineStr">
        <is>
          <t>10.3.5.2</t>
        </is>
      </c>
      <c r="B84" s="9" t="inlineStr">
        <is>
          <t xml:space="preserve">      Ceph Object Gateway user access</t>
        </is>
      </c>
      <c r="C84" s="10">
        <f>HYPERLINK("https://www.ibm.com/docs/en/storage-ceph/9.9.1?topic=management-ceph-object-gateway-user-access","https://www.ibm.com/docs/en/storage-ceph/9.9.1?topic=management-ceph-object-gateway-user-access")</f>
        <v/>
      </c>
    </row>
    <row r="85" ht="18" customHeight="1">
      <c r="A85" s="8" t="inlineStr">
        <is>
          <t>10.3.5.3</t>
        </is>
      </c>
      <c r="B85" s="9" t="inlineStr">
        <is>
          <t xml:space="preserve">      Ceph Object Gateway LDAP or AD authentication</t>
        </is>
      </c>
      <c r="C85" s="10">
        <f>HYPERLINK("https://www.ibm.com/docs/en/storage-ceph/9.9.1?topic=management-ceph-object-gateway-ldap-ad-authentication","https://www.ibm.com/docs/en/storage-ceph/9.9.1?topic=management-ceph-object-gateway-ldap-ad-authentication")</f>
        <v/>
      </c>
    </row>
    <row r="86" ht="18" customHeight="1">
      <c r="A86" s="8" t="inlineStr">
        <is>
          <t>10.3.5.4</t>
        </is>
      </c>
      <c r="B86" s="9" t="inlineStr">
        <is>
          <t xml:space="preserve">      Ceph Object Gateway OpenStack Keystone authentication</t>
        </is>
      </c>
      <c r="C86" s="10">
        <f>HYPERLINK("https://www.ibm.com/docs/en/storage-ceph/9.9.1?topic=management-ceph-object-gateway-openstack-keystone-authentication","https://www.ibm.com/docs/en/storage-ceph/9.9.1?topic=management-ceph-object-gateway-openstack-keystone-authentication")</f>
        <v/>
      </c>
    </row>
    <row r="87" ht="18" customHeight="1">
      <c r="A87" s="8" t="inlineStr">
        <is>
          <t>10.3.5.5</t>
        </is>
      </c>
      <c r="B87" s="9" t="inlineStr">
        <is>
          <t xml:space="preserve">      Ceph Dashboard SSO using OpenID Connect (OIDC) protocol</t>
        </is>
      </c>
      <c r="C87" s="10">
        <f>HYPERLINK("https://www.ibm.com/docs/en/storage-ceph/9.9.1?topic=iam-ceph-dashboard-sso-using-openid-connect-oidc-protocol","https://www.ibm.com/docs/en/storage-ceph/9.9.1?topic=iam-ceph-dashboard-sso-using-openid-connect-oidc-protocol")</f>
        <v/>
      </c>
    </row>
    <row r="88" ht="18" customHeight="1">
      <c r="A88" s="8" t="inlineStr">
        <is>
          <t>10.3.5.5.1</t>
        </is>
      </c>
      <c r="B88" s="9" t="inlineStr">
        <is>
          <t xml:space="preserve">        Using the Ceph Management gateway (mgmt-gateway)</t>
        </is>
      </c>
      <c r="C88" s="10">
        <f>HYPERLINK("https://www.ibm.com/docs/en/storage-ceph/9.9.1?topic=protocol-using-ceph-management-gateway-mgmt-gateway","https://www.ibm.com/docs/en/storage-ceph/9.9.1?topic=protocol-using-ceph-management-gateway-mgmt-gateway")</f>
        <v/>
      </c>
    </row>
    <row r="89" ht="18" customHeight="1">
      <c r="A89" s="8" t="inlineStr">
        <is>
          <t>10.3.5.5.1.1</t>
        </is>
      </c>
      <c r="B89" s="9" t="inlineStr">
        <is>
          <t xml:space="preserve">          Reconfigure the dashboard to use cephadm‑signed certificates</t>
        </is>
      </c>
      <c r="C89" s="10">
        <f>HYPERLINK("https://www.ibm.com/docs/en/storage-ceph/9.9.1?topic=gateway-reconfigure-dashboard-use-cephadmsigned-certificates","https://www.ibm.com/docs/en/storage-ceph/9.9.1?topic=gateway-reconfigure-dashboard-use-cephadmsigned-certificates")</f>
        <v/>
      </c>
    </row>
    <row r="90" ht="18" customHeight="1">
      <c r="A90" s="8" t="inlineStr">
        <is>
          <t>10.3.5.5.1.2</t>
        </is>
      </c>
      <c r="B90" s="9" t="inlineStr">
        <is>
          <t xml:space="preserve">          Enabling the Ceph Management gateway</t>
        </is>
      </c>
      <c r="C90" s="10">
        <f>HYPERLINK("https://www.ibm.com/docs/en/storage-ceph/9.9.1?topic=gateway-enabling-ceph-management","https://www.ibm.com/docs/en/storage-ceph/9.9.1?topic=gateway-enabling-ceph-management")</f>
        <v/>
      </c>
    </row>
    <row r="91" ht="18" customHeight="1">
      <c r="A91" s="8" t="inlineStr">
        <is>
          <t>10.3.5.5.1.3</t>
        </is>
      </c>
      <c r="B91" s="9" t="inlineStr">
        <is>
          <t xml:space="preserve">          Enabling high availability for Ceph Management gateway</t>
        </is>
      </c>
      <c r="C91" s="10">
        <f>HYPERLINK("https://www.ibm.com/docs/en/storage-ceph/9.9.1?topic=gateway-enabling-high-availability-ceph-management","https://www.ibm.com/docs/en/storage-ceph/9.9.1?topic=gateway-enabling-high-availability-ceph-management")</f>
        <v/>
      </c>
    </row>
    <row r="92" ht="18" customHeight="1">
      <c r="A92" s="8" t="inlineStr">
        <is>
          <t>10.3.5.5.1.3.1</t>
        </is>
      </c>
      <c r="B92" s="9" t="inlineStr">
        <is>
          <t xml:space="preserve">            Example configurations for mgmt-gateway with high availability</t>
        </is>
      </c>
      <c r="C92" s="10">
        <f>HYPERLINK("https://www.ibm.com/docs/en/storage-ceph/9.9.1?topic=gateway-example-configurations-mgmt-high-availability","https://www.ibm.com/docs/en/storage-ceph/9.9.1?topic=gateway-example-configurations-mgmt-high-availability")</f>
        <v/>
      </c>
    </row>
    <row r="93" ht="18" customHeight="1">
      <c r="A93" s="8" t="inlineStr">
        <is>
          <t>10.3.5.5.2</t>
        </is>
      </c>
      <c r="B93" s="9" t="inlineStr">
        <is>
          <t xml:space="preserve">        Using the OAuth2 Proxy (oauth2-proxy) service</t>
        </is>
      </c>
      <c r="C93" s="10">
        <f>HYPERLINK("https://www.ibm.com/docs/en/storage-ceph/9.9.1?topic=protocol-using-oauth2-proxy-oauth2-proxy-service","https://www.ibm.com/docs/en/storage-ceph/9.9.1?topic=protocol-using-oauth2-proxy-oauth2-proxy-service")</f>
        <v/>
      </c>
    </row>
    <row r="94" ht="18" customHeight="1">
      <c r="A94" s="8" t="inlineStr">
        <is>
          <t>10.3.5.5.2.1</t>
        </is>
      </c>
      <c r="B94" s="9" t="inlineStr">
        <is>
          <t xml:space="preserve">          Creating an admin account with Red Hat Single Sign-On 7.6.0</t>
        </is>
      </c>
      <c r="C94" s="10">
        <f>HYPERLINK("https://www.ibm.com/docs/en/storage-ceph/9.9.1?topic=uopops-creating-admin-account-red-hat-single-sign-760","https://www.ibm.com/docs/en/storage-ceph/9.9.1?topic=uopops-creating-admin-account-red-hat-single-sign-760")</f>
        <v/>
      </c>
    </row>
    <row r="95" ht="18" customHeight="1">
      <c r="A95" s="8" t="inlineStr">
        <is>
          <t>10.3.5.5.2.2</t>
        </is>
      </c>
      <c r="B95" s="9" t="inlineStr">
        <is>
          <t xml:space="preserve">          Enabling the OAuth2 Proxy service</t>
        </is>
      </c>
      <c r="C95" s="10">
        <f>HYPERLINK("https://www.ibm.com/docs/en/storage-ceph/9.9.1?topic=service-enabling-oauth2-proxy","https://www.ibm.com/docs/en/storage-ceph/9.9.1?topic=service-enabling-oauth2-proxy")</f>
        <v/>
      </c>
    </row>
    <row r="96" ht="18" customHeight="1">
      <c r="A96" s="8" t="inlineStr">
        <is>
          <t>10.3.6</t>
        </is>
      </c>
      <c r="B96" s="9" t="inlineStr">
        <is>
          <t xml:space="preserve">    Infrastructure security</t>
        </is>
      </c>
      <c r="C96" s="10">
        <f>HYPERLINK("https://www.ibm.com/docs/en/storage-ceph/9.9.1?topic=hardening-infrastructure-security","https://www.ibm.com/docs/en/storage-ceph/9.9.1?topic=hardening-infrastructure-security")</f>
        <v/>
      </c>
    </row>
    <row r="97" ht="18" customHeight="1">
      <c r="A97" s="8" t="inlineStr">
        <is>
          <t>10.3.6.1</t>
        </is>
      </c>
      <c r="B97" s="9" t="inlineStr">
        <is>
          <t xml:space="preserve">      Administration</t>
        </is>
      </c>
      <c r="C97" s="10">
        <f>HYPERLINK("https://www.ibm.com/docs/en/storage-ceph/9.9.1?topic=security-administration","https://www.ibm.com/docs/en/storage-ceph/9.9.1?topic=security-administration")</f>
        <v/>
      </c>
    </row>
    <row r="98" ht="18" customHeight="1">
      <c r="A98" s="8" t="inlineStr">
        <is>
          <t>10.3.6.2</t>
        </is>
      </c>
      <c r="B98" s="9" t="inlineStr">
        <is>
          <t xml:space="preserve">      Network communication</t>
        </is>
      </c>
      <c r="C98" s="10">
        <f>HYPERLINK("https://www.ibm.com/docs/en/storage-ceph/9.9.1?topic=security-network-communication","https://www.ibm.com/docs/en/storage-ceph/9.9.1?topic=security-network-communication")</f>
        <v/>
      </c>
    </row>
    <row r="99" ht="18" customHeight="1">
      <c r="A99" s="8" t="inlineStr">
        <is>
          <t>10.3.6.3</t>
        </is>
      </c>
      <c r="B99" s="9" t="inlineStr">
        <is>
          <t xml:space="preserve">      Hardening the network service</t>
        </is>
      </c>
      <c r="C99" s="10">
        <f>HYPERLINK("https://www.ibm.com/docs/en/storage-ceph/9.9.1?topic=security-hardening-network-service","https://www.ibm.com/docs/en/storage-ceph/9.9.1?topic=security-hardening-network-service")</f>
        <v/>
      </c>
    </row>
    <row r="100" ht="18" customHeight="1">
      <c r="A100" s="8" t="inlineStr">
        <is>
          <t>10.3.6.4</t>
        </is>
      </c>
      <c r="B100" s="9" t="inlineStr">
        <is>
          <t xml:space="preserve">      Reporting</t>
        </is>
      </c>
      <c r="C100" s="10">
        <f>HYPERLINK("https://www.ibm.com/docs/en/storage-ceph/9.9.1?topic=security-reporting","https://www.ibm.com/docs/en/storage-ceph/9.9.1?topic=security-reporting")</f>
        <v/>
      </c>
    </row>
    <row r="101" ht="18" customHeight="1">
      <c r="A101" s="8" t="inlineStr">
        <is>
          <t>10.3.6.5</t>
        </is>
      </c>
      <c r="B101" s="9" t="inlineStr">
        <is>
          <t xml:space="preserve">      Auditing administrator actions</t>
        </is>
      </c>
      <c r="C101" s="10">
        <f>HYPERLINK("https://www.ibm.com/docs/en/storage-ceph/9.9.1?topic=security-auditing-administrator-actions","https://www.ibm.com/docs/en/storage-ceph/9.9.1?topic=security-auditing-administrator-actions")</f>
        <v/>
      </c>
    </row>
    <row r="102" ht="18" customHeight="1">
      <c r="A102" s="8" t="inlineStr">
        <is>
          <t>10.3.7</t>
        </is>
      </c>
      <c r="B102" s="9" t="inlineStr">
        <is>
          <t xml:space="preserve">    Data retention</t>
        </is>
      </c>
      <c r="C102" s="10">
        <f>HYPERLINK("https://www.ibm.com/docs/en/storage-ceph/9.9.1?topic=hardening-data-retention","https://www.ibm.com/docs/en/storage-ceph/9.9.1?topic=hardening-data-retention")</f>
        <v/>
      </c>
    </row>
    <row r="103" ht="18" customHeight="1">
      <c r="A103" s="8" t="inlineStr">
        <is>
          <t>10.3.7.1</t>
        </is>
      </c>
      <c r="B103" s="9" t="inlineStr">
        <is>
          <t xml:space="preserve">      Ceph Storage Cluster</t>
        </is>
      </c>
      <c r="C103" s="10">
        <f>HYPERLINK("https://www.ibm.com/docs/en/storage-ceph/9.9.1?topic=retention-ceph-storage-cluster","https://www.ibm.com/docs/en/storage-ceph/9.9.1?topic=retention-ceph-storage-cluster")</f>
        <v/>
      </c>
    </row>
    <row r="104" ht="18" customHeight="1">
      <c r="A104" s="8" t="inlineStr">
        <is>
          <t>10.3.7.2</t>
        </is>
      </c>
      <c r="B104" s="9" t="inlineStr">
        <is>
          <t xml:space="preserve">      Ceph Block Device</t>
        </is>
      </c>
      <c r="C104" s="10">
        <f>HYPERLINK("https://www.ibm.com/docs/en/storage-ceph/9.9.1?topic=retention-ceph-block-device","https://www.ibm.com/docs/en/storage-ceph/9.9.1?topic=retention-ceph-block-device")</f>
        <v/>
      </c>
    </row>
    <row r="105" ht="18" customHeight="1">
      <c r="A105" s="8" t="inlineStr">
        <is>
          <t>10.3.7.3</t>
        </is>
      </c>
      <c r="B105" s="9" t="inlineStr">
        <is>
          <t xml:space="preserve">      Ceph File System</t>
        </is>
      </c>
      <c r="C105" s="10">
        <f>HYPERLINK("https://www.ibm.com/docs/en/storage-ceph/9.9.1?topic=retention-ceph-file-system","https://www.ibm.com/docs/en/storage-ceph/9.9.1?topic=retention-ceph-file-system")</f>
        <v/>
      </c>
    </row>
    <row r="106" ht="18" customHeight="1">
      <c r="A106" s="8" t="inlineStr">
        <is>
          <t>10.3.7.4</t>
        </is>
      </c>
      <c r="B106" s="9" t="inlineStr">
        <is>
          <t xml:space="preserve">      Ceph Object Gateway</t>
        </is>
      </c>
      <c r="C106" s="10">
        <f>HYPERLINK("https://www.ibm.com/docs/en/storage-ceph/9.9.1?topic=retention-ceph-object-gateway","https://www.ibm.com/docs/en/storage-ceph/9.9.1?topic=retention-ceph-object-gateway")</f>
        <v/>
      </c>
    </row>
    <row r="107" ht="18" customHeight="1">
      <c r="A107" s="8" t="inlineStr">
        <is>
          <t>10.3.8</t>
        </is>
      </c>
      <c r="B107" s="9" t="inlineStr">
        <is>
          <t xml:space="preserve">    Federal Information Processing Standard (FIPS)</t>
        </is>
      </c>
      <c r="C107" s="10">
        <f>HYPERLINK("https://www.ibm.com/docs/en/storage-ceph/9.9.1?topic=hardening-federal-information-processing-standard-fips","https://www.ibm.com/docs/en/storage-ceph/9.9.1?topic=hardening-federal-information-processing-standard-fips")</f>
        <v/>
      </c>
    </row>
    <row r="108" ht="18" customHeight="1">
      <c r="A108" s="5" t="inlineStr">
        <is>
          <t>10.4</t>
        </is>
      </c>
      <c r="B108" s="6" t="inlineStr">
        <is>
          <t xml:space="preserve">  Call Home</t>
        </is>
      </c>
      <c r="C108" s="7">
        <f>HYPERLINK("https://www.ibm.com/docs/en/storage-ceph/9.9.1?topic=overview-call-home","https://www.ibm.com/docs/en/storage-ceph/9.9.1?topic=overview-call-home")</f>
        <v/>
      </c>
    </row>
    <row r="109" ht="18" customHeight="1">
      <c r="A109" s="8" t="inlineStr">
        <is>
          <t>10.4.1</t>
        </is>
      </c>
      <c r="B109" s="9" t="inlineStr">
        <is>
          <t xml:space="preserve">    IBM Storage Insights</t>
        </is>
      </c>
      <c r="C109" s="10">
        <f>HYPERLINK("https://www.ibm.com/docs/en/storage-ceph/9.9.1?topic=home-storage-insights","https://www.ibm.com/docs/en/storage-ceph/9.9.1?topic=home-storage-insights")</f>
        <v/>
      </c>
    </row>
    <row r="110" ht="18" customHeight="1">
      <c r="A110" s="5" t="inlineStr">
        <is>
          <t>10.5</t>
        </is>
      </c>
      <c r="B110" s="6" t="inlineStr">
        <is>
          <t xml:space="preserve">  Ceph File System</t>
        </is>
      </c>
      <c r="C110" s="7">
        <f>HYPERLINK("https://www.ibm.com/docs/en/storage-ceph/9.9.1?topic=overview-ceph-file-system","https://www.ibm.com/docs/en/storage-ceph/9.9.1?topic=overview-ceph-file-system")</f>
        <v/>
      </c>
    </row>
    <row r="111" ht="18" customHeight="1">
      <c r="A111" s="5" t="inlineStr">
        <is>
          <t>10.6</t>
        </is>
      </c>
      <c r="B111" s="6" t="inlineStr">
        <is>
          <t xml:space="preserve">  NFS file services</t>
        </is>
      </c>
      <c r="C111" s="7">
        <f>HYPERLINK("https://www.ibm.com/docs/en/storage-ceph/9.9.1?topic=overview-nfs-file-services","https://www.ibm.com/docs/en/storage-ceph/9.9.1?topic=overview-nfs-file-services")</f>
        <v/>
      </c>
    </row>
    <row r="112" ht="18" customHeight="1">
      <c r="A112" s="8" t="inlineStr">
        <is>
          <t>10.6.1</t>
        </is>
      </c>
      <c r="B112" s="9" t="inlineStr">
        <is>
          <t xml:space="preserve">    NFS with CephFS</t>
        </is>
      </c>
      <c r="C112" s="10">
        <f>HYPERLINK("https://www.ibm.com/docs/en/storage-ceph/9.9.1?topic=services-nfs-cephfs","https://www.ibm.com/docs/en/storage-ceph/9.9.1?topic=services-nfs-cephfs")</f>
        <v/>
      </c>
    </row>
    <row r="113" ht="18" customHeight="1">
      <c r="A113" s="8" t="inlineStr">
        <is>
          <t>10.6.2</t>
        </is>
      </c>
      <c r="B113" s="9" t="inlineStr">
        <is>
          <t xml:space="preserve">    NFS with Ceph Object Storage</t>
        </is>
      </c>
      <c r="C113" s="10">
        <f>HYPERLINK("https://www.ibm.com/docs/en/storage-ceph/9.9.1?topic=services-nfs-ceph-object-storage","https://www.ibm.com/docs/en/storage-ceph/9.9.1?topic=services-nfs-ceph-object-storage")</f>
        <v/>
      </c>
    </row>
    <row r="114" ht="18" customHeight="1">
      <c r="A114" s="8" t="inlineStr">
        <is>
          <t>10.6.3</t>
        </is>
      </c>
      <c r="B114" s="9" t="inlineStr">
        <is>
          <t xml:space="preserve">    NFS high availability through HAProxy and multi-active servers</t>
        </is>
      </c>
      <c r="C114" s="10">
        <f>HYPERLINK("https://www.ibm.com/docs/en/storage-ceph/9.9.1?topic=nfs-nfs-high-availability-through-haproxy-multi-active-servers","https://www.ibm.com/docs/en/storage-ceph/9.9.1?topic=nfs-nfs-high-availability-through-haproxy-multi-active-servers")</f>
        <v/>
      </c>
    </row>
    <row r="115" ht="18" customHeight="1">
      <c r="A115" s="5" t="inlineStr">
        <is>
          <t>10.7</t>
        </is>
      </c>
      <c r="B115" s="6" t="inlineStr">
        <is>
          <t xml:space="preserve">  NVMe over Fabrics</t>
        </is>
      </c>
      <c r="C115" s="7">
        <f>HYPERLINK("https://www.ibm.com/docs/en/storage-ceph/9.9.1?topic=overview-nvme-over-fabrics","https://www.ibm.com/docs/en/storage-ceph/9.9.1?topic=overview-nvme-over-fabrics")</f>
        <v/>
      </c>
    </row>
    <row r="116" ht="18" customHeight="1">
      <c r="A116" s="5" t="inlineStr">
        <is>
          <t>10.8</t>
        </is>
      </c>
      <c r="B116" s="6" t="inlineStr">
        <is>
          <t xml:space="preserve">  SMB file services</t>
        </is>
      </c>
      <c r="C116" s="7">
        <f>HYPERLINK("https://www.ibm.com/docs/en/storage-ceph/9.9.1?topic=overview-smb-file-services","https://www.ibm.com/docs/en/storage-ceph/9.9.1?topic=overview-smb-file-services")</f>
        <v/>
      </c>
    </row>
    <row r="117" ht="18" customHeight="1">
      <c r="A117" s="2" t="inlineStr">
        <is>
          <t>11</t>
        </is>
      </c>
      <c r="B117" s="3" t="inlineStr">
        <is>
          <t>Planning</t>
        </is>
      </c>
      <c r="C117" s="4">
        <f>HYPERLINK("https://www.ibm.com/docs/en/storage-ceph/9.9.1?topic=planning","https://www.ibm.com/docs/en/storage-ceph/9.9.1?topic=planning")</f>
        <v/>
      </c>
    </row>
    <row r="118" ht="18" customHeight="1">
      <c r="A118" s="5" t="inlineStr">
        <is>
          <t>11.1</t>
        </is>
      </c>
      <c r="B118" s="6" t="inlineStr">
        <is>
          <t xml:space="preserve">  Considerations and recommendations</t>
        </is>
      </c>
      <c r="C118" s="7">
        <f>HYPERLINK("https://www.ibm.com/docs/en/storage-ceph/9.9.1?topic=planning-considerations-recommendations","https://www.ibm.com/docs/en/storage-ceph/9.9.1?topic=planning-considerations-recommendations")</f>
        <v/>
      </c>
    </row>
    <row r="119" ht="18" customHeight="1">
      <c r="A119" s="8" t="inlineStr">
        <is>
          <t>11.1.1</t>
        </is>
      </c>
      <c r="B119" s="9" t="inlineStr">
        <is>
          <t xml:space="preserve">    Basic considerations</t>
        </is>
      </c>
      <c r="C119" s="10">
        <f>HYPERLINK("https://www.ibm.com/docs/en/storage-ceph/9.9.1?topic=recommendations-basic-considerations","https://www.ibm.com/docs/en/storage-ceph/9.9.1?topic=recommendations-basic-considerations")</f>
        <v/>
      </c>
    </row>
    <row r="120" ht="18" customHeight="1">
      <c r="A120" s="8" t="inlineStr">
        <is>
          <t>11.1.2</t>
        </is>
      </c>
      <c r="B120" s="9" t="inlineStr">
        <is>
          <t xml:space="preserve">    Workload considerations</t>
        </is>
      </c>
      <c r="C120" s="10">
        <f>HYPERLINK("https://www.ibm.com/docs/en/storage-ceph/9.9.1?topic=recommendations-workload-considerations","https://www.ibm.com/docs/en/storage-ceph/9.9.1?topic=recommendations-workload-considerations")</f>
        <v/>
      </c>
    </row>
    <row r="121" ht="18" customHeight="1">
      <c r="A121" s="8" t="inlineStr">
        <is>
          <t>11.1.3</t>
        </is>
      </c>
      <c r="B121" s="9" t="inlineStr">
        <is>
          <t xml:space="preserve">    Network considerations for IBM Storage Ceph</t>
        </is>
      </c>
      <c r="C121" s="10">
        <f>HYPERLINK("https://www.ibm.com/docs/en/storage-ceph/9.9.1?topic=recommendations-network-considerations-storage-ceph","https://www.ibm.com/docs/en/storage-ceph/9.9.1?topic=recommendations-network-considerations-storage-ceph")</f>
        <v/>
      </c>
    </row>
    <row r="122" ht="18" customHeight="1">
      <c r="A122" s="8" t="inlineStr">
        <is>
          <t>11.1.4</t>
        </is>
      </c>
      <c r="B122" s="9" t="inlineStr">
        <is>
          <t xml:space="preserve">    Considerations for using a RAID controller with OSD hosts</t>
        </is>
      </c>
      <c r="C122" s="10">
        <f>HYPERLINK("https://www.ibm.com/docs/en/storage-ceph/9.9.1?topic=recommendations-considerations-using-raid-controller-osd-hosts","https://www.ibm.com/docs/en/storage-ceph/9.9.1?topic=recommendations-considerations-using-raid-controller-osd-hosts")</f>
        <v/>
      </c>
    </row>
    <row r="123" ht="18" customHeight="1">
      <c r="A123" s="8" t="inlineStr">
        <is>
          <t>11.1.5</t>
        </is>
      </c>
      <c r="B123" s="9" t="inlineStr">
        <is>
          <t xml:space="preserve">    Tuning considerations for IBM Storage Ceph</t>
        </is>
      </c>
      <c r="C123" s="10">
        <f>HYPERLINK("https://www.ibm.com/docs/en/storage-ceph/9.9.1?topic=recommendations-tuning-considerations-storage-ceph","https://www.ibm.com/docs/en/storage-ceph/9.9.1?topic=recommendations-tuning-considerations-storage-ceph")</f>
        <v/>
      </c>
    </row>
    <row r="124" ht="18" customHeight="1">
      <c r="A124" s="8" t="inlineStr">
        <is>
          <t>11.1.6</t>
        </is>
      </c>
      <c r="B124" s="9" t="inlineStr">
        <is>
          <t xml:space="preserve">    Colocation</t>
        </is>
      </c>
      <c r="C124" s="10">
        <f>HYPERLINK("https://www.ibm.com/docs/en/storage-ceph/9.9.1?topic=recommendations-colocation","https://www.ibm.com/docs/en/storage-ceph/9.9.1?topic=recommendations-colocation")</f>
        <v/>
      </c>
    </row>
    <row r="125" ht="18" customHeight="1">
      <c r="A125" s="8" t="inlineStr">
        <is>
          <t>11.1.7</t>
        </is>
      </c>
      <c r="B125" s="9" t="inlineStr">
        <is>
          <t xml:space="preserve">    Operating system requirements</t>
        </is>
      </c>
      <c r="C125" s="10">
        <f>HYPERLINK("https://www.ibm.com/docs/en/storage-ceph/9.9.1?topic=recommendations-operating-system-requirements","https://www.ibm.com/docs/en/storage-ceph/9.9.1?topic=recommendations-operating-system-requirements")</f>
        <v/>
      </c>
    </row>
    <row r="126" ht="18" customHeight="1">
      <c r="A126" s="8" t="inlineStr">
        <is>
          <t>11.1.8</t>
        </is>
      </c>
      <c r="B126" s="9" t="inlineStr">
        <is>
          <t xml:space="preserve">    Accessing Red Hat entitlements from IBM Storage Ceph</t>
        </is>
      </c>
      <c r="C126" s="10">
        <f>HYPERLINK("https://www.ibm.com/docs/en/storage-ceph/9.9.1?topic=recommendations-accessing-red-hat-entitlements-from-storage-ceph","https://www.ibm.com/docs/en/storage-ceph/9.9.1?topic=recommendations-accessing-red-hat-entitlements-from-storage-ceph")</f>
        <v/>
      </c>
    </row>
    <row r="127" ht="18" customHeight="1">
      <c r="A127" s="8" t="inlineStr">
        <is>
          <t>11.1.9</t>
        </is>
      </c>
      <c r="B127" s="9" t="inlineStr">
        <is>
          <t xml:space="preserve">    Minimum hardware considerations</t>
        </is>
      </c>
      <c r="C127" s="10">
        <f>HYPERLINK("https://www.ibm.com/docs/en/storage-ceph/9.9.1?topic=recommendations-minimum-hardware-considerations","https://www.ibm.com/docs/en/storage-ceph/9.9.1?topic=recommendations-minimum-hardware-considerations")</f>
        <v/>
      </c>
    </row>
    <row r="128" ht="18" customHeight="1">
      <c r="A128" s="5" t="inlineStr">
        <is>
          <t>11.2</t>
        </is>
      </c>
      <c r="B128" s="6" t="inlineStr">
        <is>
          <t xml:space="preserve">  Hardware</t>
        </is>
      </c>
      <c r="C128" s="7">
        <f>HYPERLINK("https://www.ibm.com/docs/en/storage-ceph/9.9.1?topic=planning-hardware","https://www.ibm.com/docs/en/storage-ceph/9.9.1?topic=planning-hardware")</f>
        <v/>
      </c>
    </row>
    <row r="129" ht="18" customHeight="1">
      <c r="A129" s="8" t="inlineStr">
        <is>
          <t>11.2.1</t>
        </is>
      </c>
      <c r="B129" s="9" t="inlineStr">
        <is>
          <t xml:space="preserve">    General principles for selecting hardware</t>
        </is>
      </c>
      <c r="C129" s="10">
        <f>HYPERLINK("https://www.ibm.com/docs/en/storage-ceph/9.9.1?topic=hardware-general-principles-selecting","https://www.ibm.com/docs/en/storage-ceph/9.9.1?topic=hardware-general-principles-selecting")</f>
        <v/>
      </c>
    </row>
    <row r="130" ht="18" customHeight="1">
      <c r="A130" s="8" t="inlineStr">
        <is>
          <t>11.2.1.1</t>
        </is>
      </c>
      <c r="B130" s="9" t="inlineStr">
        <is>
          <t xml:space="preserve">      Identify performance use case</t>
        </is>
      </c>
      <c r="C130" s="10">
        <f>HYPERLINK("https://www.ibm.com/docs/en/storage-ceph/9.9.1?topic=hardware-identify-performance-use-case","https://www.ibm.com/docs/en/storage-ceph/9.9.1?topic=hardware-identify-performance-use-case")</f>
        <v/>
      </c>
    </row>
    <row r="131" ht="18" customHeight="1">
      <c r="A131" s="8" t="inlineStr">
        <is>
          <t>11.2.1.2</t>
        </is>
      </c>
      <c r="B131" s="9" t="inlineStr">
        <is>
          <t xml:space="preserve">      Consider storage density</t>
        </is>
      </c>
      <c r="C131" s="10">
        <f>HYPERLINK("https://www.ibm.com/docs/en/storage-ceph/9.9.1?topic=hardware-consider-storage-density","https://www.ibm.com/docs/en/storage-ceph/9.9.1?topic=hardware-consider-storage-density")</f>
        <v/>
      </c>
    </row>
    <row r="132" ht="18" customHeight="1">
      <c r="A132" s="8" t="inlineStr">
        <is>
          <t>11.2.1.3</t>
        </is>
      </c>
      <c r="B132" s="9" t="inlineStr">
        <is>
          <t xml:space="preserve">      Identical hardware configuration</t>
        </is>
      </c>
      <c r="C132" s="10">
        <f>HYPERLINK("https://www.ibm.com/docs/en/storage-ceph/9.9.1?topic=hardware-identical-configuration","https://www.ibm.com/docs/en/storage-ceph/9.9.1?topic=hardware-identical-configuration")</f>
        <v/>
      </c>
    </row>
    <row r="133" ht="18" customHeight="1">
      <c r="A133" s="8" t="inlineStr">
        <is>
          <t>11.2.1.4</t>
        </is>
      </c>
      <c r="B133" s="9" t="inlineStr">
        <is>
          <t xml:space="preserve">      Network considerations for IBM Storage Ceph</t>
        </is>
      </c>
      <c r="C133" s="10">
        <f>HYPERLINK("https://www.ibm.com/docs/en/storage-ceph/9.9.1?topic=hardware-network-considerations-storage-ceph","https://www.ibm.com/docs/en/storage-ceph/9.9.1?topic=hardware-network-considerations-storage-ceph")</f>
        <v/>
      </c>
    </row>
    <row r="134" ht="18" customHeight="1">
      <c r="A134" s="8" t="inlineStr">
        <is>
          <t>11.2.1.5</t>
        </is>
      </c>
      <c r="B134" s="9" t="inlineStr">
        <is>
          <t xml:space="preserve">      Avoid using RAID and SAN solutions</t>
        </is>
      </c>
      <c r="C134" s="10">
        <f>HYPERLINK("https://www.ibm.com/docs/en/storage-ceph/9.9.1?topic=hardware-avoid-using-raid-san-solutions","https://www.ibm.com/docs/en/storage-ceph/9.9.1?topic=hardware-avoid-using-raid-san-solutions")</f>
        <v/>
      </c>
    </row>
    <row r="135" ht="18" customHeight="1">
      <c r="A135" s="8" t="inlineStr">
        <is>
          <t>11.2.1.6</t>
        </is>
      </c>
      <c r="B135" s="9" t="inlineStr">
        <is>
          <t xml:space="preserve">      Summary of common mistakes when selecting hardware</t>
        </is>
      </c>
      <c r="C135" s="10">
        <f>HYPERLINK("https://www.ibm.com/docs/en/storage-ceph/9.9.1?topic=hardware-summary-common-mistakes-when-selecting","https://www.ibm.com/docs/en/storage-ceph/9.9.1?topic=hardware-summary-common-mistakes-when-selecting")</f>
        <v/>
      </c>
    </row>
    <row r="136" ht="18" customHeight="1">
      <c r="A136" s="8" t="inlineStr">
        <is>
          <t>11.2.2</t>
        </is>
      </c>
      <c r="B136" s="9" t="inlineStr">
        <is>
          <t xml:space="preserve">    Optimize workload performance domains</t>
        </is>
      </c>
      <c r="C136" s="10">
        <f>HYPERLINK("https://www.ibm.com/docs/en/storage-ceph/9.9.1?topic=hardware-optimize-workload-performance-domains","https://www.ibm.com/docs/en/storage-ceph/9.9.1?topic=hardware-optimize-workload-performance-domains")</f>
        <v/>
      </c>
    </row>
    <row r="137" ht="18" customHeight="1">
      <c r="A137" s="8" t="inlineStr">
        <is>
          <t>11.2.3</t>
        </is>
      </c>
      <c r="B137" s="9" t="inlineStr">
        <is>
          <t xml:space="preserve">    Server and rack solutions</t>
        </is>
      </c>
      <c r="C137" s="10">
        <f>HYPERLINK("https://www.ibm.com/docs/en/storage-ceph/9.9.1?topic=hardware-server-rack-solutions","https://www.ibm.com/docs/en/storage-ceph/9.9.1?topic=hardware-server-rack-solutions")</f>
        <v/>
      </c>
    </row>
    <row r="138" ht="18" customHeight="1">
      <c r="A138" s="8" t="inlineStr">
        <is>
          <t>11.2.4</t>
        </is>
      </c>
      <c r="B138" s="9" t="inlineStr">
        <is>
          <t xml:space="preserve">    Recommended minimum hardware requirements for the IBM Storage Ceph Dashboard</t>
        </is>
      </c>
      <c r="C138" s="10">
        <f>HYPERLINK("https://www.ibm.com/docs/en/storage-ceph/9.9.1?topic=hardware-recommended-minimum-requirements-storage-ceph-dashboard","https://www.ibm.com/docs/en/storage-ceph/9.9.1?topic=hardware-recommended-minimum-requirements-storage-ceph-dashboard")</f>
        <v/>
      </c>
    </row>
    <row r="139" ht="18" customHeight="1">
      <c r="A139" s="5" t="inlineStr">
        <is>
          <t>11.3</t>
        </is>
      </c>
      <c r="B139" s="6" t="inlineStr">
        <is>
          <t xml:space="preserve">  Storage strategies</t>
        </is>
      </c>
      <c r="C139" s="7">
        <f>HYPERLINK("https://www.ibm.com/docs/en/storage-ceph/9.9.1?topic=planning-storage-strategies","https://www.ibm.com/docs/en/storage-ceph/9.9.1?topic=planning-storage-strategies")</f>
        <v/>
      </c>
    </row>
    <row r="140" ht="18" customHeight="1">
      <c r="A140" s="8" t="inlineStr">
        <is>
          <t>11.3.1</t>
        </is>
      </c>
      <c r="B140" s="9" t="inlineStr">
        <is>
          <t xml:space="preserve">    Configuring storage strategies</t>
        </is>
      </c>
      <c r="C140" s="10">
        <f>HYPERLINK("https://www.ibm.com/docs/en/storage-ceph/9.9.1?topic=strategies-configuring-storage","https://www.ibm.com/docs/en/storage-ceph/9.9.1?topic=strategies-configuring-storage")</f>
        <v/>
      </c>
    </row>
    <row r="141" ht="18" customHeight="1">
      <c r="A141" s="8" t="inlineStr">
        <is>
          <t>11.3.2</t>
        </is>
      </c>
      <c r="B141" s="9" t="inlineStr">
        <is>
          <t xml:space="preserve">    CRUSH admin overview</t>
        </is>
      </c>
      <c r="C141" s="10">
        <f>HYPERLINK("https://www.ibm.com/docs/en/storage-ceph/9.9.1?topic=strategies-crush-admin-overview","https://www.ibm.com/docs/en/storage-ceph/9.9.1?topic=strategies-crush-admin-overview")</f>
        <v/>
      </c>
    </row>
    <row r="142" ht="18" customHeight="1">
      <c r="A142" s="8" t="inlineStr">
        <is>
          <t>11.3.2.1</t>
        </is>
      </c>
      <c r="B142" s="9" t="inlineStr">
        <is>
          <t xml:space="preserve">      CRUSH introduction</t>
        </is>
      </c>
      <c r="C142" s="10">
        <f>HYPERLINK("https://www.ibm.com/docs/en/storage-ceph/9.9.1?topic=overview-crush-introduction","https://www.ibm.com/docs/en/storage-ceph/9.9.1?topic=overview-crush-introduction")</f>
        <v/>
      </c>
    </row>
    <row r="143" ht="18" customHeight="1">
      <c r="A143" s="8" t="inlineStr">
        <is>
          <t>11.3.2.1.1</t>
        </is>
      </c>
      <c r="B143" s="9" t="inlineStr">
        <is>
          <t xml:space="preserve">        Dynamic data placement</t>
        </is>
      </c>
      <c r="C143" s="10">
        <f>HYPERLINK("https://www.ibm.com/docs/en/storage-ceph/9.9.1?topic=introduction-dynamic-data-placement","https://www.ibm.com/docs/en/storage-ceph/9.9.1?topic=introduction-dynamic-data-placement")</f>
        <v/>
      </c>
    </row>
    <row r="144" ht="18" customHeight="1">
      <c r="A144" s="8" t="inlineStr">
        <is>
          <t>11.3.2.1.2</t>
        </is>
      </c>
      <c r="B144" s="9" t="inlineStr">
        <is>
          <t xml:space="preserve">        CRUSH failure domain</t>
        </is>
      </c>
      <c r="C144" s="10">
        <f>HYPERLINK("https://www.ibm.com/docs/en/storage-ceph/9.9.1?topic=introduction-crush-failure-domain","https://www.ibm.com/docs/en/storage-ceph/9.9.1?topic=introduction-crush-failure-domain")</f>
        <v/>
      </c>
    </row>
    <row r="145" ht="18" customHeight="1">
      <c r="A145" s="8" t="inlineStr">
        <is>
          <t>11.3.2.1.3</t>
        </is>
      </c>
      <c r="B145" s="9" t="inlineStr">
        <is>
          <t xml:space="preserve">        CRUSH performance domain</t>
        </is>
      </c>
      <c r="C145" s="10">
        <f>HYPERLINK("https://www.ibm.com/docs/en/storage-ceph/9.9.1?topic=introduction-crush-performance-domain","https://www.ibm.com/docs/en/storage-ceph/9.9.1?topic=introduction-crush-performance-domain")</f>
        <v/>
      </c>
    </row>
    <row r="146" ht="18" customHeight="1">
      <c r="A146" s="8" t="inlineStr">
        <is>
          <t>11.3.2.1.4</t>
        </is>
      </c>
      <c r="B146" s="9" t="inlineStr">
        <is>
          <t xml:space="preserve">        Using different device classes</t>
        </is>
      </c>
      <c r="C146" s="10">
        <f>HYPERLINK("https://www.ibm.com/docs/en/storage-ceph/9.9.1?topic=introduction-using-different-device-classes","https://www.ibm.com/docs/en/storage-ceph/9.9.1?topic=introduction-using-different-device-classes")</f>
        <v/>
      </c>
    </row>
    <row r="147" ht="18" customHeight="1">
      <c r="A147" s="8" t="inlineStr">
        <is>
          <t>11.3.2.2</t>
        </is>
      </c>
      <c r="B147" s="9" t="inlineStr">
        <is>
          <t xml:space="preserve">      CRUSH hierarchy</t>
        </is>
      </c>
      <c r="C147" s="10">
        <f>HYPERLINK("https://www.ibm.com/docs/en/storage-ceph/9.9.1?topic=overview-crush-hierarchy","https://www.ibm.com/docs/en/storage-ceph/9.9.1?topic=overview-crush-hierarchy")</f>
        <v/>
      </c>
    </row>
    <row r="148" ht="18" customHeight="1">
      <c r="A148" s="8" t="inlineStr">
        <is>
          <t>11.3.2.2.1</t>
        </is>
      </c>
      <c r="B148" s="9" t="inlineStr">
        <is>
          <t xml:space="preserve">        CRUSH location</t>
        </is>
      </c>
      <c r="C148" s="10">
        <f>HYPERLINK("https://www.ibm.com/docs/en/storage-ceph/9.9.1?topic=hierarchy-crush-location","https://www.ibm.com/docs/en/storage-ceph/9.9.1?topic=hierarchy-crush-location")</f>
        <v/>
      </c>
    </row>
    <row r="149" ht="18" customHeight="1">
      <c r="A149" s="8" t="inlineStr">
        <is>
          <t>11.3.2.2.2</t>
        </is>
      </c>
      <c r="B149" s="9" t="inlineStr">
        <is>
          <t xml:space="preserve">        Adding a bucket</t>
        </is>
      </c>
      <c r="C149" s="10">
        <f>HYPERLINK("https://www.ibm.com/docs/en/storage-ceph/9.9.1?topic=hierarchy-adding-bucket","https://www.ibm.com/docs/en/storage-ceph/9.9.1?topic=hierarchy-adding-bucket")</f>
        <v/>
      </c>
    </row>
    <row r="150" ht="18" customHeight="1">
      <c r="A150" s="8" t="inlineStr">
        <is>
          <t>11.3.2.2.3</t>
        </is>
      </c>
      <c r="B150" s="9" t="inlineStr">
        <is>
          <t xml:space="preserve">        Moving a bucket</t>
        </is>
      </c>
      <c r="C150" s="10">
        <f>HYPERLINK("https://www.ibm.com/docs/en/storage-ceph/9.9.1?topic=hierarchy-moving-bucket","https://www.ibm.com/docs/en/storage-ceph/9.9.1?topic=hierarchy-moving-bucket")</f>
        <v/>
      </c>
    </row>
    <row r="151" ht="18" customHeight="1">
      <c r="A151" s="8" t="inlineStr">
        <is>
          <t>11.3.2.2.4</t>
        </is>
      </c>
      <c r="B151" s="9" t="inlineStr">
        <is>
          <t xml:space="preserve">        Removing a bucket</t>
        </is>
      </c>
      <c r="C151" s="10">
        <f>HYPERLINK("https://www.ibm.com/docs/en/storage-ceph/9.9.1?topic=hierarchy-removing-bucket","https://www.ibm.com/docs/en/storage-ceph/9.9.1?topic=hierarchy-removing-bucket")</f>
        <v/>
      </c>
    </row>
    <row r="152" ht="18" customHeight="1">
      <c r="A152" s="8" t="inlineStr">
        <is>
          <t>11.3.2.2.5</t>
        </is>
      </c>
      <c r="B152" s="9" t="inlineStr">
        <is>
          <t xml:space="preserve">        CRUSH bucket algorithms</t>
        </is>
      </c>
      <c r="C152" s="10">
        <f>HYPERLINK("https://www.ibm.com/docs/en/storage-ceph/9.9.1?topic=hierarchy-crush-bucket-algorithms","https://www.ibm.com/docs/en/storage-ceph/9.9.1?topic=hierarchy-crush-bucket-algorithms")</f>
        <v/>
      </c>
    </row>
    <row r="153" ht="18" customHeight="1">
      <c r="A153" s="8" t="inlineStr">
        <is>
          <t>11.3.2.3</t>
        </is>
      </c>
      <c r="B153" s="9" t="inlineStr">
        <is>
          <t xml:space="preserve">      Ceph OSDs in CRUSH</t>
        </is>
      </c>
      <c r="C153" s="10">
        <f>HYPERLINK("https://www.ibm.com/docs/en/storage-ceph/9.9.1?topic=overview-ceph-osds-in-crush","https://www.ibm.com/docs/en/storage-ceph/9.9.1?topic=overview-ceph-osds-in-crush")</f>
        <v/>
      </c>
    </row>
    <row r="154" ht="18" customHeight="1">
      <c r="A154" s="8" t="inlineStr">
        <is>
          <t>11.3.2.3.1</t>
        </is>
      </c>
      <c r="B154" s="9" t="inlineStr">
        <is>
          <t xml:space="preserve">        Viewing OSDs in CRUSH</t>
        </is>
      </c>
      <c r="C154" s="10">
        <f>HYPERLINK("https://www.ibm.com/docs/en/storage-ceph/9.9.1?topic=crush-viewing-osds-in","https://www.ibm.com/docs/en/storage-ceph/9.9.1?topic=crush-viewing-osds-in")</f>
        <v/>
      </c>
    </row>
    <row r="155" ht="18" customHeight="1">
      <c r="A155" s="8" t="inlineStr">
        <is>
          <t>11.3.2.3.2</t>
        </is>
      </c>
      <c r="B155" s="9" t="inlineStr">
        <is>
          <t xml:space="preserve">        Adding an OSD to CRUSH</t>
        </is>
      </c>
      <c r="C155" s="10">
        <f>HYPERLINK("https://www.ibm.com/docs/en/storage-ceph/9.9.1?topic=crush-adding-osd","https://www.ibm.com/docs/en/storage-ceph/9.9.1?topic=crush-adding-osd")</f>
        <v/>
      </c>
    </row>
    <row r="156" ht="18" customHeight="1">
      <c r="A156" s="8" t="inlineStr">
        <is>
          <t>11.3.2.3.3</t>
        </is>
      </c>
      <c r="B156" s="9" t="inlineStr">
        <is>
          <t xml:space="preserve">        Moving an OSD within a CRUSH Hierarchy</t>
        </is>
      </c>
      <c r="C156" s="10">
        <f>HYPERLINK("https://www.ibm.com/docs/en/storage-ceph/9.9.1?topic=crush-moving-osd-within-hierarchy","https://www.ibm.com/docs/en/storage-ceph/9.9.1?topic=crush-moving-osd-within-hierarchy")</f>
        <v/>
      </c>
    </row>
    <row r="157" ht="18" customHeight="1">
      <c r="A157" s="8" t="inlineStr">
        <is>
          <t>11.3.2.3.4</t>
        </is>
      </c>
      <c r="B157" s="9" t="inlineStr">
        <is>
          <t xml:space="preserve">        Removing an OSD from a CRUSH Hierarchy</t>
        </is>
      </c>
      <c r="C157" s="10">
        <f>HYPERLINK("https://www.ibm.com/docs/en/storage-ceph/9.9.1?topic=crush-removing-osd-from-hierarchy","https://www.ibm.com/docs/en/storage-ceph/9.9.1?topic=crush-removing-osd-from-hierarchy")</f>
        <v/>
      </c>
    </row>
    <row r="158" ht="18" customHeight="1">
      <c r="A158" s="8" t="inlineStr">
        <is>
          <t>11.3.2.4</t>
        </is>
      </c>
      <c r="B158" s="9" t="inlineStr">
        <is>
          <t xml:space="preserve">      Device class</t>
        </is>
      </c>
      <c r="C158" s="10">
        <f>HYPERLINK("https://www.ibm.com/docs/en/storage-ceph/9.9.1?topic=overview-device-class","https://www.ibm.com/docs/en/storage-ceph/9.9.1?topic=overview-device-class")</f>
        <v/>
      </c>
    </row>
    <row r="159" ht="18" customHeight="1">
      <c r="A159" s="8" t="inlineStr">
        <is>
          <t>11.3.2.4.1</t>
        </is>
      </c>
      <c r="B159" s="9" t="inlineStr">
        <is>
          <t xml:space="preserve">        Setting a device class</t>
        </is>
      </c>
      <c r="C159" s="10">
        <f>HYPERLINK("https://www.ibm.com/docs/en/storage-ceph/9.9.1?topic=class-setting-device","https://www.ibm.com/docs/en/storage-ceph/9.9.1?topic=class-setting-device")</f>
        <v/>
      </c>
    </row>
    <row r="160" ht="18" customHeight="1">
      <c r="A160" s="8" t="inlineStr">
        <is>
          <t>11.3.2.4.2</t>
        </is>
      </c>
      <c r="B160" s="9" t="inlineStr">
        <is>
          <t xml:space="preserve">        Removing a device class</t>
        </is>
      </c>
      <c r="C160" s="10">
        <f>HYPERLINK("https://www.ibm.com/docs/en/storage-ceph/9.9.1?topic=class-removing-device","https://www.ibm.com/docs/en/storage-ceph/9.9.1?topic=class-removing-device")</f>
        <v/>
      </c>
    </row>
    <row r="161" ht="18" customHeight="1">
      <c r="A161" s="8" t="inlineStr">
        <is>
          <t>11.3.2.4.3</t>
        </is>
      </c>
      <c r="B161" s="9" t="inlineStr">
        <is>
          <t xml:space="preserve">        Renaming a device class</t>
        </is>
      </c>
      <c r="C161" s="10">
        <f>HYPERLINK("https://www.ibm.com/docs/en/storage-ceph/9.9.1?topic=class-renaming-device","https://www.ibm.com/docs/en/storage-ceph/9.9.1?topic=class-renaming-device")</f>
        <v/>
      </c>
    </row>
    <row r="162" ht="18" customHeight="1">
      <c r="A162" s="8" t="inlineStr">
        <is>
          <t>11.3.2.4.4</t>
        </is>
      </c>
      <c r="B162" s="9" t="inlineStr">
        <is>
          <t xml:space="preserve">        Listing a device class</t>
        </is>
      </c>
      <c r="C162" s="10">
        <f>HYPERLINK("https://www.ibm.com/docs/en/storage-ceph/9.9.1?topic=class-listing-device","https://www.ibm.com/docs/en/storage-ceph/9.9.1?topic=class-listing-device")</f>
        <v/>
      </c>
    </row>
    <row r="163" ht="18" customHeight="1">
      <c r="A163" s="8" t="inlineStr">
        <is>
          <t>11.3.2.4.5</t>
        </is>
      </c>
      <c r="B163" s="9" t="inlineStr">
        <is>
          <t xml:space="preserve">        Listing OSDs of a device class</t>
        </is>
      </c>
      <c r="C163" s="10">
        <f>HYPERLINK("https://www.ibm.com/docs/en/storage-ceph/9.9.1?topic=class-listing-osds-device","https://www.ibm.com/docs/en/storage-ceph/9.9.1?topic=class-listing-osds-device")</f>
        <v/>
      </c>
    </row>
    <row r="164" ht="18" customHeight="1">
      <c r="A164" s="8" t="inlineStr">
        <is>
          <t>11.3.2.4.6</t>
        </is>
      </c>
      <c r="B164" s="9" t="inlineStr">
        <is>
          <t xml:space="preserve">        Listing CRUSH rules by class</t>
        </is>
      </c>
      <c r="C164" s="10">
        <f>HYPERLINK("https://www.ibm.com/docs/en/storage-ceph/9.9.1?topic=class-listing-crush-rules-by","https://www.ibm.com/docs/en/storage-ceph/9.9.1?topic=class-listing-crush-rules-by")</f>
        <v/>
      </c>
    </row>
    <row r="165" ht="18" customHeight="1">
      <c r="A165" s="8" t="inlineStr">
        <is>
          <t>11.3.2.5</t>
        </is>
      </c>
      <c r="B165" s="9" t="inlineStr">
        <is>
          <t xml:space="preserve">      CRUSH weights</t>
        </is>
      </c>
      <c r="C165" s="10">
        <f>HYPERLINK("https://www.ibm.com/docs/en/storage-ceph/9.9.1?topic=overview-crush-weights","https://www.ibm.com/docs/en/storage-ceph/9.9.1?topic=overview-crush-weights")</f>
        <v/>
      </c>
    </row>
    <row r="166" ht="18" customHeight="1">
      <c r="A166" s="8" t="inlineStr">
        <is>
          <t>11.3.2.5.1</t>
        </is>
      </c>
      <c r="B166" s="9" t="inlineStr">
        <is>
          <t xml:space="preserve">        Setting CRUSH weights of OSDs</t>
        </is>
      </c>
      <c r="C166" s="10">
        <f>HYPERLINK("https://www.ibm.com/docs/en/storage-ceph/9.9.1?topic=weights-setting-crush-osds","https://www.ibm.com/docs/en/storage-ceph/9.9.1?topic=weights-setting-crush-osds")</f>
        <v/>
      </c>
    </row>
    <row r="167" ht="18" customHeight="1">
      <c r="A167" s="8" t="inlineStr">
        <is>
          <t>11.3.2.5.2</t>
        </is>
      </c>
      <c r="B167" s="9" t="inlineStr">
        <is>
          <t xml:space="preserve">        Setting a bucket’s OSD weights</t>
        </is>
      </c>
      <c r="C167" s="10">
        <f>HYPERLINK("https://www.ibm.com/docs/en/storage-ceph/9.9.1?topic=weights-setting-buckets-osd","https://www.ibm.com/docs/en/storage-ceph/9.9.1?topic=weights-setting-buckets-osd")</f>
        <v/>
      </c>
    </row>
    <row r="168" ht="18" customHeight="1">
      <c r="A168" s="8" t="inlineStr">
        <is>
          <t>11.3.2.5.3</t>
        </is>
      </c>
      <c r="B168" s="9" t="inlineStr">
        <is>
          <t xml:space="preserve">        Set an OSD’s in weight</t>
        </is>
      </c>
      <c r="C168" s="10">
        <f>HYPERLINK("https://www.ibm.com/docs/en/storage-ceph/9.9.1?topic=weights-set-osds-in-weight","https://www.ibm.com/docs/en/storage-ceph/9.9.1?topic=weights-set-osds-in-weight")</f>
        <v/>
      </c>
    </row>
    <row r="169" ht="18" customHeight="1">
      <c r="A169" s="8" t="inlineStr">
        <is>
          <t>11.3.2.5.4</t>
        </is>
      </c>
      <c r="B169" s="9" t="inlineStr">
        <is>
          <t xml:space="preserve">        Setting the OSDs weight by utilization</t>
        </is>
      </c>
      <c r="C169" s="10">
        <f>HYPERLINK("https://www.ibm.com/docs/en/storage-ceph/9.9.1?topic=weights-setting-osds-weight-by-utilization","https://www.ibm.com/docs/en/storage-ceph/9.9.1?topic=weights-setting-osds-weight-by-utilization")</f>
        <v/>
      </c>
    </row>
    <row r="170" ht="18" customHeight="1">
      <c r="A170" s="8" t="inlineStr">
        <is>
          <t>11.3.2.5.5</t>
        </is>
      </c>
      <c r="B170" s="9" t="inlineStr">
        <is>
          <t xml:space="preserve">        Setting an OSD’s weight by placement group distribution</t>
        </is>
      </c>
      <c r="C170" s="10">
        <f>HYPERLINK("https://www.ibm.com/docs/en/storage-ceph/9.9.1?topic=weights-setting-osds-weight-by-placement-group-distribution","https://www.ibm.com/docs/en/storage-ceph/9.9.1?topic=weights-setting-osds-weight-by-placement-group-distribution")</f>
        <v/>
      </c>
    </row>
    <row r="171" ht="18" customHeight="1">
      <c r="A171" s="8" t="inlineStr">
        <is>
          <t>11.3.2.5.6</t>
        </is>
      </c>
      <c r="B171" s="9" t="inlineStr">
        <is>
          <t xml:space="preserve">        Recalculating a CRUSH tree bucket weight</t>
        </is>
      </c>
      <c r="C171" s="10">
        <f>HYPERLINK("https://www.ibm.com/docs/en/storage-ceph/9.9.1?topic=weights-recalculating-crush-tree-bucket-weight","https://www.ibm.com/docs/en/storage-ceph/9.9.1?topic=weights-recalculating-crush-tree-bucket-weight")</f>
        <v/>
      </c>
    </row>
    <row r="172" ht="18" customHeight="1">
      <c r="A172" s="8" t="inlineStr">
        <is>
          <t>11.3.2.6</t>
        </is>
      </c>
      <c r="B172" s="9" t="inlineStr">
        <is>
          <t xml:space="preserve">      Primary affinity</t>
        </is>
      </c>
      <c r="C172" s="10">
        <f>HYPERLINK("https://www.ibm.com/docs/en/storage-ceph/9.9.1?topic=overview-primary-affinity","https://www.ibm.com/docs/en/storage-ceph/9.9.1?topic=overview-primary-affinity")</f>
        <v/>
      </c>
    </row>
    <row r="173" ht="18" customHeight="1">
      <c r="A173" s="8" t="inlineStr">
        <is>
          <t>11.3.2.7</t>
        </is>
      </c>
      <c r="B173" s="9" t="inlineStr">
        <is>
          <t xml:space="preserve">      CRUSH rules</t>
        </is>
      </c>
      <c r="C173" s="10">
        <f>HYPERLINK("https://www.ibm.com/docs/en/storage-ceph/9.9.1?topic=overview-crush-rules","https://www.ibm.com/docs/en/storage-ceph/9.9.1?topic=overview-crush-rules")</f>
        <v/>
      </c>
    </row>
    <row r="174" ht="18" customHeight="1">
      <c r="A174" s="8" t="inlineStr">
        <is>
          <t>11.3.2.7.1</t>
        </is>
      </c>
      <c r="B174" s="9" t="inlineStr">
        <is>
          <t xml:space="preserve">        Listing CRUSH rules</t>
        </is>
      </c>
      <c r="C174" s="10">
        <f>HYPERLINK("https://www.ibm.com/docs/en/storage-ceph/9.9.1?topic=rules-listing-crush","https://www.ibm.com/docs/en/storage-ceph/9.9.1?topic=rules-listing-crush")</f>
        <v/>
      </c>
    </row>
    <row r="175" ht="18" customHeight="1">
      <c r="A175" s="8" t="inlineStr">
        <is>
          <t>11.3.2.7.2</t>
        </is>
      </c>
      <c r="B175" s="9" t="inlineStr">
        <is>
          <t xml:space="preserve">        Dumping CRUSH rules</t>
        </is>
      </c>
      <c r="C175" s="10">
        <f>HYPERLINK("https://www.ibm.com/docs/en/storage-ceph/9.9.1?topic=rules-dumping-crush","https://www.ibm.com/docs/en/storage-ceph/9.9.1?topic=rules-dumping-crush")</f>
        <v/>
      </c>
    </row>
    <row r="176" ht="18" customHeight="1">
      <c r="A176" s="8" t="inlineStr">
        <is>
          <t>11.3.2.7.3</t>
        </is>
      </c>
      <c r="B176" s="9" t="inlineStr">
        <is>
          <t xml:space="preserve">        Adding CRUSH rules</t>
        </is>
      </c>
      <c r="C176" s="10">
        <f>HYPERLINK("https://www.ibm.com/docs/en/storage-ceph/9.9.1?topic=rules-adding-crush","https://www.ibm.com/docs/en/storage-ceph/9.9.1?topic=rules-adding-crush")</f>
        <v/>
      </c>
    </row>
    <row r="177" ht="18" customHeight="1">
      <c r="A177" s="8" t="inlineStr">
        <is>
          <t>11.3.2.7.4</t>
        </is>
      </c>
      <c r="B177" s="9" t="inlineStr">
        <is>
          <t xml:space="preserve">        Creating CRUSH rules for replicated pools</t>
        </is>
      </c>
      <c r="C177" s="10">
        <f>HYPERLINK("https://www.ibm.com/docs/en/storage-ceph/9.9.1?topic=rules-creating-crush-replicated-pools","https://www.ibm.com/docs/en/storage-ceph/9.9.1?topic=rules-creating-crush-replicated-pools")</f>
        <v/>
      </c>
    </row>
    <row r="178" ht="18" customHeight="1">
      <c r="A178" s="8" t="inlineStr">
        <is>
          <t>11.3.2.7.5</t>
        </is>
      </c>
      <c r="B178" s="9" t="inlineStr">
        <is>
          <t xml:space="preserve">        Creating CRUSH rules for erasure coded pools</t>
        </is>
      </c>
      <c r="C178" s="10">
        <f>HYPERLINK("https://www.ibm.com/docs/en/storage-ceph/9.9.1?topic=rules-creating-crush-erasure-coded-pools","https://www.ibm.com/docs/en/storage-ceph/9.9.1?topic=rules-creating-crush-erasure-coded-pools")</f>
        <v/>
      </c>
    </row>
    <row r="179" ht="18" customHeight="1">
      <c r="A179" s="8" t="inlineStr">
        <is>
          <t>11.3.2.7.6</t>
        </is>
      </c>
      <c r="B179" s="9" t="inlineStr">
        <is>
          <t xml:space="preserve">        Removing CRUSH rules</t>
        </is>
      </c>
      <c r="C179" s="10">
        <f>HYPERLINK("https://www.ibm.com/docs/en/storage-ceph/9.9.1?topic=rules-removing-crush","https://www.ibm.com/docs/en/storage-ceph/9.9.1?topic=rules-removing-crush")</f>
        <v/>
      </c>
    </row>
    <row r="180" ht="18" customHeight="1">
      <c r="A180" s="8" t="inlineStr">
        <is>
          <t>11.3.2.8</t>
        </is>
      </c>
      <c r="B180" s="9" t="inlineStr">
        <is>
          <t xml:space="preserve">      CRUSH tuning</t>
        </is>
      </c>
      <c r="C180" s="10">
        <f>HYPERLINK("https://www.ibm.com/docs/en/storage-ceph/9.9.1?topic=overview-crush-tuning","https://www.ibm.com/docs/en/storage-ceph/9.9.1?topic=overview-crush-tuning")</f>
        <v/>
      </c>
    </row>
    <row r="181" ht="18" customHeight="1">
      <c r="A181" s="8" t="inlineStr">
        <is>
          <t>11.3.2.9</t>
        </is>
      </c>
      <c r="B181" s="9" t="inlineStr">
        <is>
          <t xml:space="preserve">      Edit a CRUSH map</t>
        </is>
      </c>
      <c r="C181" s="10">
        <f>HYPERLINK("https://www.ibm.com/docs/en/storage-ceph/9.9.1?topic=overview-edit-crush-map","https://www.ibm.com/docs/en/storage-ceph/9.9.1?topic=overview-edit-crush-map")</f>
        <v/>
      </c>
    </row>
    <row r="182" ht="18" customHeight="1">
      <c r="A182" s="8" t="inlineStr">
        <is>
          <t>11.3.2.9.1</t>
        </is>
      </c>
      <c r="B182" s="9" t="inlineStr">
        <is>
          <t xml:space="preserve">        Getting the CRUSH map</t>
        </is>
      </c>
      <c r="C182" s="10">
        <f>HYPERLINK("https://www.ibm.com/docs/en/storage-ceph/9.9.1?topic=map-getting-crush","https://www.ibm.com/docs/en/storage-ceph/9.9.1?topic=map-getting-crush")</f>
        <v/>
      </c>
    </row>
    <row r="183" ht="18" customHeight="1">
      <c r="A183" s="8" t="inlineStr">
        <is>
          <t>11.3.2.9.2</t>
        </is>
      </c>
      <c r="B183" s="9" t="inlineStr">
        <is>
          <t xml:space="preserve">        Decompiling the CRUSH map</t>
        </is>
      </c>
      <c r="C183" s="10">
        <f>HYPERLINK("https://www.ibm.com/docs/en/storage-ceph/9.9.1?topic=map-decompiling-crush","https://www.ibm.com/docs/en/storage-ceph/9.9.1?topic=map-decompiling-crush")</f>
        <v/>
      </c>
    </row>
    <row r="184" ht="18" customHeight="1">
      <c r="A184" s="8" t="inlineStr">
        <is>
          <t>11.3.2.9.3</t>
        </is>
      </c>
      <c r="B184" s="9" t="inlineStr">
        <is>
          <t xml:space="preserve">        Compiling the CRUSH map</t>
        </is>
      </c>
      <c r="C184" s="10">
        <f>HYPERLINK("https://www.ibm.com/docs/en/storage-ceph/9.9.1?topic=map-compiling-crush","https://www.ibm.com/docs/en/storage-ceph/9.9.1?topic=map-compiling-crush")</f>
        <v/>
      </c>
    </row>
    <row r="185" ht="18" customHeight="1">
      <c r="A185" s="8" t="inlineStr">
        <is>
          <t>11.3.2.9.4</t>
        </is>
      </c>
      <c r="B185" s="9" t="inlineStr">
        <is>
          <t xml:space="preserve">        Setting a CRUSH map</t>
        </is>
      </c>
      <c r="C185" s="10">
        <f>HYPERLINK("https://www.ibm.com/docs/en/storage-ceph/9.9.1?topic=map-setting-crush","https://www.ibm.com/docs/en/storage-ceph/9.9.1?topic=map-setting-crush")</f>
        <v/>
      </c>
    </row>
    <row r="186" ht="18" customHeight="1">
      <c r="A186" s="8" t="inlineStr">
        <is>
          <t>11.3.2.10</t>
        </is>
      </c>
      <c r="B186" s="9" t="inlineStr">
        <is>
          <t xml:space="preserve">      CRUSH storage strategies examples</t>
        </is>
      </c>
      <c r="C186" s="10">
        <f>HYPERLINK("https://www.ibm.com/docs/en/storage-ceph/9.9.1?topic=overview-crush-storage-strategies-examples","https://www.ibm.com/docs/en/storage-ceph/9.9.1?topic=overview-crush-storage-strategies-examples")</f>
        <v/>
      </c>
    </row>
    <row r="187" ht="18" customHeight="1">
      <c r="A187" s="8" t="inlineStr">
        <is>
          <t>11.3.3</t>
        </is>
      </c>
      <c r="B187" s="9" t="inlineStr">
        <is>
          <t xml:space="preserve">    Placement groups</t>
        </is>
      </c>
      <c r="C187" s="10">
        <f>HYPERLINK("https://www.ibm.com/docs/en/storage-ceph/9.9.1?topic=strategies-placement-groups","https://www.ibm.com/docs/en/storage-ceph/9.9.1?topic=strategies-placement-groups")</f>
        <v/>
      </c>
    </row>
    <row r="188" ht="18" customHeight="1">
      <c r="A188" s="8" t="inlineStr">
        <is>
          <t>11.3.3.1</t>
        </is>
      </c>
      <c r="B188" s="9" t="inlineStr">
        <is>
          <t xml:space="preserve">      About placement groups</t>
        </is>
      </c>
      <c r="C188" s="10">
        <f>HYPERLINK("https://www.ibm.com/docs/en/storage-ceph/9.9.1?topic=groups-about-placement","https://www.ibm.com/docs/en/storage-ceph/9.9.1?topic=groups-about-placement")</f>
        <v/>
      </c>
    </row>
    <row r="189" ht="18" customHeight="1">
      <c r="A189" s="8" t="inlineStr">
        <is>
          <t>11.3.3.2</t>
        </is>
      </c>
      <c r="B189" s="9" t="inlineStr">
        <is>
          <t xml:space="preserve">      Placement group states</t>
        </is>
      </c>
      <c r="C189" s="10">
        <f>HYPERLINK("https://www.ibm.com/docs/en/storage-ceph/9.9.1?topic=groups-placement-group-states","https://www.ibm.com/docs/en/storage-ceph/9.9.1?topic=groups-placement-group-states")</f>
        <v/>
      </c>
    </row>
    <row r="190" ht="18" customHeight="1">
      <c r="A190" s="8" t="inlineStr">
        <is>
          <t>11.3.3.3</t>
        </is>
      </c>
      <c r="B190" s="9" t="inlineStr">
        <is>
          <t xml:space="preserve">      Placement group tradeoffs</t>
        </is>
      </c>
      <c r="C190" s="10">
        <f>HYPERLINK("https://www.ibm.com/docs/en/storage-ceph/9.9.1?topic=groups-placement-group-tradeoffs","https://www.ibm.com/docs/en/storage-ceph/9.9.1?topic=groups-placement-group-tradeoffs")</f>
        <v/>
      </c>
    </row>
    <row r="191" ht="18" customHeight="1">
      <c r="A191" s="8" t="inlineStr">
        <is>
          <t>11.3.3.3.1</t>
        </is>
      </c>
      <c r="B191" s="9" t="inlineStr">
        <is>
          <t xml:space="preserve">        Data durability</t>
        </is>
      </c>
      <c r="C191" s="10">
        <f>HYPERLINK("https://www.ibm.com/docs/en/storage-ceph/9.9.1?topic=tradeoffs-data-durability","https://www.ibm.com/docs/en/storage-ceph/9.9.1?topic=tradeoffs-data-durability")</f>
        <v/>
      </c>
    </row>
    <row r="192" ht="18" customHeight="1">
      <c r="A192" s="8" t="inlineStr">
        <is>
          <t>11.3.3.3.2</t>
        </is>
      </c>
      <c r="B192" s="9" t="inlineStr">
        <is>
          <t xml:space="preserve">        Data distribution</t>
        </is>
      </c>
      <c r="C192" s="10">
        <f>HYPERLINK("https://www.ibm.com/docs/en/storage-ceph/9.9.1?topic=tradeoffs-data-distribution","https://www.ibm.com/docs/en/storage-ceph/9.9.1?topic=tradeoffs-data-distribution")</f>
        <v/>
      </c>
    </row>
    <row r="193" ht="18" customHeight="1">
      <c r="A193" s="8" t="inlineStr">
        <is>
          <t>11.3.3.3.3</t>
        </is>
      </c>
      <c r="B193" s="9" t="inlineStr">
        <is>
          <t xml:space="preserve">        Resource usage</t>
        </is>
      </c>
      <c r="C193" s="10">
        <f>HYPERLINK("https://www.ibm.com/docs/en/storage-ceph/9.9.1?topic=tradeoffs-resource-usage","https://www.ibm.com/docs/en/storage-ceph/9.9.1?topic=tradeoffs-resource-usage")</f>
        <v/>
      </c>
    </row>
    <row r="194" ht="18" customHeight="1">
      <c r="A194" s="8" t="inlineStr">
        <is>
          <t>11.3.3.4</t>
        </is>
      </c>
      <c r="B194" s="9" t="inlineStr">
        <is>
          <t xml:space="preserve">      Placement group count</t>
        </is>
      </c>
      <c r="C194" s="10">
        <f>HYPERLINK("https://www.ibm.com/docs/en/storage-ceph/9.9.1?topic=groups-placement-group-count","https://www.ibm.com/docs/en/storage-ceph/9.9.1?topic=groups-placement-group-count")</f>
        <v/>
      </c>
    </row>
    <row r="195" ht="18" customHeight="1">
      <c r="A195" s="8" t="inlineStr">
        <is>
          <t>11.3.3.4.1</t>
        </is>
      </c>
      <c r="B195" s="9" t="inlineStr">
        <is>
          <t xml:space="preserve">        Placement group calculator</t>
        </is>
      </c>
      <c r="C195" s="10">
        <f>HYPERLINK("https://www.ibm.com/docs/en/storage-ceph/9.9.1?topic=count-placement-group-calculator","https://www.ibm.com/docs/en/storage-ceph/9.9.1?topic=count-placement-group-calculator")</f>
        <v/>
      </c>
    </row>
    <row r="196" ht="18" customHeight="1">
      <c r="A196" s="8" t="inlineStr">
        <is>
          <t>11.3.3.4.2</t>
        </is>
      </c>
      <c r="B196" s="9" t="inlineStr">
        <is>
          <t xml:space="preserve">        Configuring default placement group count</t>
        </is>
      </c>
      <c r="C196" s="10">
        <f>HYPERLINK("https://www.ibm.com/docs/en/storage-ceph/9.9.1?topic=count-configuring-default-placement-group","https://www.ibm.com/docs/en/storage-ceph/9.9.1?topic=count-configuring-default-placement-group")</f>
        <v/>
      </c>
    </row>
    <row r="197" ht="18" customHeight="1">
      <c r="A197" s="8" t="inlineStr">
        <is>
          <t>11.3.3.4.3</t>
        </is>
      </c>
      <c r="B197" s="9" t="inlineStr">
        <is>
          <t xml:space="preserve">        Placement group count for small clusters</t>
        </is>
      </c>
      <c r="C197" s="10">
        <f>HYPERLINK("https://www.ibm.com/docs/en/storage-ceph/9.9.1?topic=count-placement-group-small-clusters","https://www.ibm.com/docs/en/storage-ceph/9.9.1?topic=count-placement-group-small-clusters")</f>
        <v/>
      </c>
    </row>
    <row r="198" ht="18" customHeight="1">
      <c r="A198" s="8" t="inlineStr">
        <is>
          <t>11.3.3.4.4</t>
        </is>
      </c>
      <c r="B198" s="9" t="inlineStr">
        <is>
          <t xml:space="preserve">        Calculating placement group count</t>
        </is>
      </c>
      <c r="C198" s="10">
        <f>HYPERLINK("https://www.ibm.com/docs/en/storage-ceph/9.9.1?topic=count-calculating-placement-group","https://www.ibm.com/docs/en/storage-ceph/9.9.1?topic=count-calculating-placement-group")</f>
        <v/>
      </c>
    </row>
    <row r="199" ht="18" customHeight="1">
      <c r="A199" s="8" t="inlineStr">
        <is>
          <t>11.3.3.4.5</t>
        </is>
      </c>
      <c r="B199" s="9" t="inlineStr">
        <is>
          <t xml:space="preserve">        Maximum placement group count</t>
        </is>
      </c>
      <c r="C199" s="10">
        <f>HYPERLINK("https://www.ibm.com/docs/en/storage-ceph/9.9.1?topic=count-maximum-placement-group","https://www.ibm.com/docs/en/storage-ceph/9.9.1?topic=count-maximum-placement-group")</f>
        <v/>
      </c>
    </row>
    <row r="200" ht="18" customHeight="1">
      <c r="A200" s="8" t="inlineStr">
        <is>
          <t>11.3.3.5</t>
        </is>
      </c>
      <c r="B200" s="9" t="inlineStr">
        <is>
          <t xml:space="preserve">      Auto-scaling placement groups</t>
        </is>
      </c>
      <c r="C200" s="10">
        <f>HYPERLINK("https://www.ibm.com/docs/en/storage-ceph/9.9.1?topic=groups-auto-scaling-placement","https://www.ibm.com/docs/en/storage-ceph/9.9.1?topic=groups-auto-scaling-placement")</f>
        <v/>
      </c>
    </row>
    <row r="201" ht="18" customHeight="1">
      <c r="A201" s="8" t="inlineStr">
        <is>
          <t>11.3.3.5.1</t>
        </is>
      </c>
      <c r="B201" s="9" t="inlineStr">
        <is>
          <t xml:space="preserve">        Placement group splitting and merging</t>
        </is>
      </c>
      <c r="C201" s="10">
        <f>HYPERLINK("https://www.ibm.com/docs/en/storage-ceph/9.9.1?topic=groups-placement-group-splitting-merging","https://www.ibm.com/docs/en/storage-ceph/9.9.1?topic=groups-placement-group-splitting-merging")</f>
        <v/>
      </c>
    </row>
    <row r="202" ht="18" customHeight="1">
      <c r="A202" s="8" t="inlineStr">
        <is>
          <t>11.3.3.5.2</t>
        </is>
      </c>
      <c r="B202" s="9" t="inlineStr">
        <is>
          <t xml:space="preserve">        Setting placement group auto-scaling modes</t>
        </is>
      </c>
      <c r="C202" s="10">
        <f>HYPERLINK("https://www.ibm.com/docs/en/storage-ceph/9.9.1?topic=groups-setting-placement-group-auto-scaling-modes","https://www.ibm.com/docs/en/storage-ceph/9.9.1?topic=groups-setting-placement-group-auto-scaling-modes")</f>
        <v/>
      </c>
    </row>
    <row r="203" ht="18" customHeight="1">
      <c r="A203" s="8" t="inlineStr">
        <is>
          <t>11.3.3.5.3</t>
        </is>
      </c>
      <c r="B203" s="9" t="inlineStr">
        <is>
          <t xml:space="preserve">        Setting minimum and maximum number of placement groups for pools</t>
        </is>
      </c>
      <c r="C203" s="10">
        <f>HYPERLINK("https://www.ibm.com/docs/en/storage-ceph/9.9.1?topic=groups-setting-minimum-maximum-number-placement-pools","https://www.ibm.com/docs/en/storage-ceph/9.9.1?topic=groups-setting-minimum-maximum-number-placement-pools")</f>
        <v/>
      </c>
    </row>
    <row r="204" ht="18" customHeight="1">
      <c r="A204" s="8" t="inlineStr">
        <is>
          <t>11.3.3.5.4</t>
        </is>
      </c>
      <c r="B204" s="9" t="inlineStr">
        <is>
          <t xml:space="preserve">        Viewing placement group scaling recommendations</t>
        </is>
      </c>
      <c r="C204" s="10">
        <f>HYPERLINK("https://www.ibm.com/docs/en/storage-ceph/9.9.1?topic=groups-viewing-placement-group-scaling-recommendations","https://www.ibm.com/docs/en/storage-ceph/9.9.1?topic=groups-viewing-placement-group-scaling-recommendations")</f>
        <v/>
      </c>
    </row>
    <row r="205" ht="18" customHeight="1">
      <c r="A205" s="8" t="inlineStr">
        <is>
          <t>11.3.3.5.5</t>
        </is>
      </c>
      <c r="B205" s="9" t="inlineStr">
        <is>
          <t xml:space="preserve">        Configuring placement group auto-scaling</t>
        </is>
      </c>
      <c r="C205" s="10">
        <f>HYPERLINK("https://www.ibm.com/docs/en/storage-ceph/9.9.1?topic=groups-configuring-placement-group-auto-scaling","https://www.ibm.com/docs/en/storage-ceph/9.9.1?topic=groups-configuring-placement-group-auto-scaling")</f>
        <v/>
      </c>
    </row>
    <row r="206" ht="18" customHeight="1">
      <c r="A206" s="8" t="inlineStr">
        <is>
          <t>11.3.3.6</t>
        </is>
      </c>
      <c r="B206" s="9" t="inlineStr">
        <is>
          <t xml:space="preserve">      Updating noautoscale flag</t>
        </is>
      </c>
      <c r="C206" s="10">
        <f>HYPERLINK("https://www.ibm.com/docs/en/storage-ceph/9.9.1?topic=groups-updating-noautoscale-flag","https://www.ibm.com/docs/en/storage-ceph/9.9.1?topic=groups-updating-noautoscale-flag")</f>
        <v/>
      </c>
    </row>
    <row r="207" ht="18" customHeight="1">
      <c r="A207" s="8" t="inlineStr">
        <is>
          <t>11.3.3.7</t>
        </is>
      </c>
      <c r="B207" s="9" t="inlineStr">
        <is>
          <t xml:space="preserve">      Specifying target pool size</t>
        </is>
      </c>
      <c r="C207" s="10">
        <f>HYPERLINK("https://www.ibm.com/docs/en/storage-ceph/9.9.1?topic=groups-specifying-target-pool-size","https://www.ibm.com/docs/en/storage-ceph/9.9.1?topic=groups-specifying-target-pool-size")</f>
        <v/>
      </c>
    </row>
    <row r="208" ht="18" customHeight="1">
      <c r="A208" s="8" t="inlineStr">
        <is>
          <t>11.3.3.7.1</t>
        </is>
      </c>
      <c r="B208" s="9" t="inlineStr">
        <is>
          <t xml:space="preserve">        Specifying target size using the absolute size of the pool</t>
        </is>
      </c>
      <c r="C208" s="10">
        <f>HYPERLINK("https://www.ibm.com/docs/en/storage-ceph/9.9.1?topic=size-specifying-target-using-absolute-pool","https://www.ibm.com/docs/en/storage-ceph/9.9.1?topic=size-specifying-target-using-absolute-pool")</f>
        <v/>
      </c>
    </row>
    <row r="209" ht="18" customHeight="1">
      <c r="A209" s="8" t="inlineStr">
        <is>
          <t>11.3.3.7.2</t>
        </is>
      </c>
      <c r="B209" s="9" t="inlineStr">
        <is>
          <t xml:space="preserve">        Specifying target size using the total cluster capacity</t>
        </is>
      </c>
      <c r="C209" s="10">
        <f>HYPERLINK("https://www.ibm.com/docs/en/storage-ceph/9.9.1?topic=size-specifying-target-using-total-cluster-capacity","https://www.ibm.com/docs/en/storage-ceph/9.9.1?topic=size-specifying-target-using-total-cluster-capacity")</f>
        <v/>
      </c>
    </row>
    <row r="210" ht="18" customHeight="1">
      <c r="A210" s="8" t="inlineStr">
        <is>
          <t>11.3.3.8</t>
        </is>
      </c>
      <c r="B210" s="9" t="inlineStr">
        <is>
          <t xml:space="preserve">      Placement group command line interface</t>
        </is>
      </c>
      <c r="C210" s="10">
        <f>HYPERLINK("https://www.ibm.com/docs/en/storage-ceph/9.9.1?topic=groups-placement-group-command-line-interface","https://www.ibm.com/docs/en/storage-ceph/9.9.1?topic=groups-placement-group-command-line-interface")</f>
        <v/>
      </c>
    </row>
    <row r="211" ht="18" customHeight="1">
      <c r="A211" s="8" t="inlineStr">
        <is>
          <t>11.3.3.8.1</t>
        </is>
      </c>
      <c r="B211" s="9" t="inlineStr">
        <is>
          <t xml:space="preserve">        Setting number of placement groups in a pool</t>
        </is>
      </c>
      <c r="C211" s="10">
        <f>HYPERLINK("https://www.ibm.com/docs/en/storage-ceph/9.9.1?topic=interface-setting-number-placement-groups-in-pool","https://www.ibm.com/docs/en/storage-ceph/9.9.1?topic=interface-setting-number-placement-groups-in-pool")</f>
        <v/>
      </c>
    </row>
    <row r="212" ht="18" customHeight="1">
      <c r="A212" s="8" t="inlineStr">
        <is>
          <t>11.3.3.8.2</t>
        </is>
      </c>
      <c r="B212" s="9" t="inlineStr">
        <is>
          <t xml:space="preserve">        Getting number of placement groups in a pool</t>
        </is>
      </c>
      <c r="C212" s="10">
        <f>HYPERLINK("https://www.ibm.com/docs/en/storage-ceph/9.9.1?topic=interface-getting-number-placement-groups-in-pool","https://www.ibm.com/docs/en/storage-ceph/9.9.1?topic=interface-getting-number-placement-groups-in-pool")</f>
        <v/>
      </c>
    </row>
    <row r="213" ht="18" customHeight="1">
      <c r="A213" s="8" t="inlineStr">
        <is>
          <t>11.3.3.8.3</t>
        </is>
      </c>
      <c r="B213" s="9" t="inlineStr">
        <is>
          <t xml:space="preserve">        Getting statistics for placement groups</t>
        </is>
      </c>
      <c r="C213" s="10">
        <f>HYPERLINK("https://www.ibm.com/docs/en/storage-ceph/9.9.1?topic=interface-getting-statistics-placement-groups","https://www.ibm.com/docs/en/storage-ceph/9.9.1?topic=interface-getting-statistics-placement-groups")</f>
        <v/>
      </c>
    </row>
    <row r="214" ht="18" customHeight="1">
      <c r="A214" s="8" t="inlineStr">
        <is>
          <t>11.3.3.8.4</t>
        </is>
      </c>
      <c r="B214" s="9" t="inlineStr">
        <is>
          <t xml:space="preserve">        Getting statistics for stuck placement groups</t>
        </is>
      </c>
      <c r="C214" s="10">
        <f>HYPERLINK("https://www.ibm.com/docs/en/storage-ceph/9.9.1?topic=interface-getting-statistics-stuck-placement-groups","https://www.ibm.com/docs/en/storage-ceph/9.9.1?topic=interface-getting-statistics-stuck-placement-groups")</f>
        <v/>
      </c>
    </row>
    <row r="215" ht="18" customHeight="1">
      <c r="A215" s="8" t="inlineStr">
        <is>
          <t>11.3.3.8.5</t>
        </is>
      </c>
      <c r="B215" s="9" t="inlineStr">
        <is>
          <t xml:space="preserve">        Getting placement group maps</t>
        </is>
      </c>
      <c r="C215" s="10">
        <f>HYPERLINK("https://www.ibm.com/docs/en/storage-ceph/9.9.1?topic=interface-getting-placement-group-maps","https://www.ibm.com/docs/en/storage-ceph/9.9.1?topic=interface-getting-placement-group-maps")</f>
        <v/>
      </c>
    </row>
    <row r="216" ht="18" customHeight="1">
      <c r="A216" s="8" t="inlineStr">
        <is>
          <t>11.3.3.8.6</t>
        </is>
      </c>
      <c r="B216" s="9" t="inlineStr">
        <is>
          <t xml:space="preserve">        Getting a placement group statistics</t>
        </is>
      </c>
      <c r="C216" s="10">
        <f>HYPERLINK("https://www.ibm.com/docs/en/storage-ceph/9.9.1?topic=interface-getting-placement-group-statistics","https://www.ibm.com/docs/en/storage-ceph/9.9.1?topic=interface-getting-placement-group-statistics")</f>
        <v/>
      </c>
    </row>
    <row r="217" ht="18" customHeight="1">
      <c r="A217" s="8" t="inlineStr">
        <is>
          <t>11.3.3.8.7</t>
        </is>
      </c>
      <c r="B217" s="9" t="inlineStr">
        <is>
          <t xml:space="preserve">        Scrubbing placement groups</t>
        </is>
      </c>
      <c r="C217" s="10">
        <f>HYPERLINK("https://www.ibm.com/docs/en/storage-ceph/9.9.1?topic=interface-scrubbing-placement-groups","https://www.ibm.com/docs/en/storage-ceph/9.9.1?topic=interface-scrubbing-placement-groups")</f>
        <v/>
      </c>
    </row>
    <row r="218" ht="18" customHeight="1">
      <c r="A218" s="8" t="inlineStr">
        <is>
          <t>11.3.3.8.8</t>
        </is>
      </c>
      <c r="B218" s="9" t="inlineStr">
        <is>
          <t xml:space="preserve">        Marking unfound objects</t>
        </is>
      </c>
      <c r="C218" s="10">
        <f>HYPERLINK("https://www.ibm.com/docs/en/storage-ceph/9.9.1?topic=interface-marking-unfound-objects","https://www.ibm.com/docs/en/storage-ceph/9.9.1?topic=interface-marking-unfound-objects")</f>
        <v/>
      </c>
    </row>
    <row r="219" ht="18" customHeight="1">
      <c r="A219" s="8" t="inlineStr">
        <is>
          <t>11.3.4</t>
        </is>
      </c>
      <c r="B219" s="9" t="inlineStr">
        <is>
          <t xml:space="preserve">    Pools overview</t>
        </is>
      </c>
      <c r="C219" s="10">
        <f>HYPERLINK("https://www.ibm.com/docs/en/storage-ceph/9.9.1?topic=strategies-pools-overview","https://www.ibm.com/docs/en/storage-ceph/9.9.1?topic=strategies-pools-overview")</f>
        <v/>
      </c>
    </row>
    <row r="220" ht="18" customHeight="1">
      <c r="A220" s="8" t="inlineStr">
        <is>
          <t>11.3.4.1</t>
        </is>
      </c>
      <c r="B220" s="9" t="inlineStr">
        <is>
          <t xml:space="preserve">      Listing pool</t>
        </is>
      </c>
      <c r="C220" s="10">
        <f>HYPERLINK("https://www.ibm.com/docs/en/storage-ceph/9.9.1?topic=overview-listing-pool","https://www.ibm.com/docs/en/storage-ceph/9.9.1?topic=overview-listing-pool")</f>
        <v/>
      </c>
    </row>
    <row r="221" ht="18" customHeight="1">
      <c r="A221" s="8" t="inlineStr">
        <is>
          <t>11.3.4.2</t>
        </is>
      </c>
      <c r="B221" s="9" t="inlineStr">
        <is>
          <t xml:space="preserve">      Creating pools</t>
        </is>
      </c>
      <c r="C221" s="10">
        <f>HYPERLINK("https://www.ibm.com/docs/en/storage-ceph/9.9.1?topic=overview-creating-pools","https://www.ibm.com/docs/en/storage-ceph/9.9.1?topic=overview-creating-pools")</f>
        <v/>
      </c>
    </row>
    <row r="222" ht="18" customHeight="1">
      <c r="A222" s="8" t="inlineStr">
        <is>
          <t>11.3.4.3</t>
        </is>
      </c>
      <c r="B222" s="9" t="inlineStr">
        <is>
          <t xml:space="preserve">      Setting pool quota</t>
        </is>
      </c>
      <c r="C222" s="10">
        <f>HYPERLINK("https://www.ibm.com/docs/en/storage-ceph/9.9.1?topic=overview-setting-pool-quota","https://www.ibm.com/docs/en/storage-ceph/9.9.1?topic=overview-setting-pool-quota")</f>
        <v/>
      </c>
    </row>
    <row r="223" ht="18" customHeight="1">
      <c r="A223" s="8" t="inlineStr">
        <is>
          <t>11.3.4.4</t>
        </is>
      </c>
      <c r="B223" s="9" t="inlineStr">
        <is>
          <t xml:space="preserve">      Deleting a pool</t>
        </is>
      </c>
      <c r="C223" s="10">
        <f>HYPERLINK("https://www.ibm.com/docs/en/storage-ceph/9.9.1?topic=overview-deleting-pool","https://www.ibm.com/docs/en/storage-ceph/9.9.1?topic=overview-deleting-pool")</f>
        <v/>
      </c>
    </row>
    <row r="224" ht="18" customHeight="1">
      <c r="A224" s="8" t="inlineStr">
        <is>
          <t>11.3.4.5</t>
        </is>
      </c>
      <c r="B224" s="9" t="inlineStr">
        <is>
          <t xml:space="preserve">      Renaming a pool</t>
        </is>
      </c>
      <c r="C224" s="10">
        <f>HYPERLINK("https://www.ibm.com/docs/en/storage-ceph/9.9.1?topic=overview-renaming-pool","https://www.ibm.com/docs/en/storage-ceph/9.9.1?topic=overview-renaming-pool")</f>
        <v/>
      </c>
    </row>
    <row r="225" ht="18" customHeight="1">
      <c r="A225" s="8" t="inlineStr">
        <is>
          <t>11.3.4.6</t>
        </is>
      </c>
      <c r="B225" s="9" t="inlineStr">
        <is>
          <t xml:space="preserve">      Migrating a pool</t>
        </is>
      </c>
      <c r="C225" s="10">
        <f>HYPERLINK("https://www.ibm.com/docs/en/storage-ceph/9.9.1?topic=overview-migrating-pool","https://www.ibm.com/docs/en/storage-ceph/9.9.1?topic=overview-migrating-pool")</f>
        <v/>
      </c>
    </row>
    <row r="226" ht="18" customHeight="1">
      <c r="A226" s="8" t="inlineStr">
        <is>
          <t>11.3.4.7</t>
        </is>
      </c>
      <c r="B226" s="9" t="inlineStr">
        <is>
          <t xml:space="preserve">      Viewing pool statistics</t>
        </is>
      </c>
      <c r="C226" s="10">
        <f>HYPERLINK("https://www.ibm.com/docs/en/storage-ceph/9.9.1?topic=overview-viewing-pool-statistics","https://www.ibm.com/docs/en/storage-ceph/9.9.1?topic=overview-viewing-pool-statistics")</f>
        <v/>
      </c>
    </row>
    <row r="227" ht="18" customHeight="1">
      <c r="A227" s="8" t="inlineStr">
        <is>
          <t>11.3.4.8</t>
        </is>
      </c>
      <c r="B227" s="9" t="inlineStr">
        <is>
          <t xml:space="preserve">      Setting pool values</t>
        </is>
      </c>
      <c r="C227" s="10">
        <f>HYPERLINK("https://www.ibm.com/docs/en/storage-ceph/9.9.1?topic=overview-setting-pool-values","https://www.ibm.com/docs/en/storage-ceph/9.9.1?topic=overview-setting-pool-values")</f>
        <v/>
      </c>
    </row>
    <row r="228" ht="18" customHeight="1">
      <c r="A228" s="8" t="inlineStr">
        <is>
          <t>11.3.4.9</t>
        </is>
      </c>
      <c r="B228" s="9" t="inlineStr">
        <is>
          <t xml:space="preserve">      Getting pool values</t>
        </is>
      </c>
      <c r="C228" s="10">
        <f>HYPERLINK("https://www.ibm.com/docs/en/storage-ceph/9.9.1?topic=overview-getting-pool-values","https://www.ibm.com/docs/en/storage-ceph/9.9.1?topic=overview-getting-pool-values")</f>
        <v/>
      </c>
    </row>
    <row r="229" ht="18" customHeight="1">
      <c r="A229" s="8" t="inlineStr">
        <is>
          <t>11.3.4.10</t>
        </is>
      </c>
      <c r="B229" s="9" t="inlineStr">
        <is>
          <t xml:space="preserve">      Enabling a client application</t>
        </is>
      </c>
      <c r="C229" s="10">
        <f>HYPERLINK("https://www.ibm.com/docs/en/storage-ceph/9.9.1?topic=overview-enabling-client-application","https://www.ibm.com/docs/en/storage-ceph/9.9.1?topic=overview-enabling-client-application")</f>
        <v/>
      </c>
    </row>
    <row r="230" ht="18" customHeight="1">
      <c r="A230" s="8" t="inlineStr">
        <is>
          <t>11.3.4.11</t>
        </is>
      </c>
      <c r="B230" s="9" t="inlineStr">
        <is>
          <t xml:space="preserve">      Disabling a client application</t>
        </is>
      </c>
      <c r="C230" s="10">
        <f>HYPERLINK("https://www.ibm.com/docs/en/storage-ceph/9.9.1?topic=overview-disabling-client-application","https://www.ibm.com/docs/en/storage-ceph/9.9.1?topic=overview-disabling-client-application")</f>
        <v/>
      </c>
    </row>
    <row r="231" ht="18" customHeight="1">
      <c r="A231" s="8" t="inlineStr">
        <is>
          <t>11.3.4.12</t>
        </is>
      </c>
      <c r="B231" s="9" t="inlineStr">
        <is>
          <t xml:space="preserve">      Setting application metadata</t>
        </is>
      </c>
      <c r="C231" s="10">
        <f>HYPERLINK("https://www.ibm.com/docs/en/storage-ceph/9.9.1?topic=overview-setting-application-metadata","https://www.ibm.com/docs/en/storage-ceph/9.9.1?topic=overview-setting-application-metadata")</f>
        <v/>
      </c>
    </row>
    <row r="232" ht="18" customHeight="1">
      <c r="A232" s="8" t="inlineStr">
        <is>
          <t>11.3.4.13</t>
        </is>
      </c>
      <c r="B232" s="9" t="inlineStr">
        <is>
          <t xml:space="preserve">      Removing application metadata</t>
        </is>
      </c>
      <c r="C232" s="10">
        <f>HYPERLINK("https://www.ibm.com/docs/en/storage-ceph/9.9.1?topic=overview-removing-application-metadata","https://www.ibm.com/docs/en/storage-ceph/9.9.1?topic=overview-removing-application-metadata")</f>
        <v/>
      </c>
    </row>
    <row r="233" ht="18" customHeight="1">
      <c r="A233" s="8" t="inlineStr">
        <is>
          <t>11.3.4.14</t>
        </is>
      </c>
      <c r="B233" s="9" t="inlineStr">
        <is>
          <t xml:space="preserve">      Setting the number of object replicas</t>
        </is>
      </c>
      <c r="C233" s="10">
        <f>HYPERLINK("https://www.ibm.com/docs/en/storage-ceph/9.9.1?topic=overview-setting-number-object-replicas","https://www.ibm.com/docs/en/storage-ceph/9.9.1?topic=overview-setting-number-object-replicas")</f>
        <v/>
      </c>
    </row>
    <row r="234" ht="18" customHeight="1">
      <c r="A234" s="8" t="inlineStr">
        <is>
          <t>11.3.4.15</t>
        </is>
      </c>
      <c r="B234" s="9" t="inlineStr">
        <is>
          <t xml:space="preserve">      Getting the number of object replicas</t>
        </is>
      </c>
      <c r="C234" s="10">
        <f>HYPERLINK("https://www.ibm.com/docs/en/storage-ceph/9.9.1?topic=overview-getting-number-object-replicas","https://www.ibm.com/docs/en/storage-ceph/9.9.1?topic=overview-getting-number-object-replicas")</f>
        <v/>
      </c>
    </row>
    <row r="235" ht="18" customHeight="1">
      <c r="A235" s="8" t="inlineStr">
        <is>
          <t>11.3.4.16</t>
        </is>
      </c>
      <c r="B235" s="9" t="inlineStr">
        <is>
          <t xml:space="preserve">      Pool values</t>
        </is>
      </c>
      <c r="C235" s="10">
        <f>HYPERLINK("https://www.ibm.com/docs/en/storage-ceph/9.9.1?topic=overview-pool-values","https://www.ibm.com/docs/en/storage-ceph/9.9.1?topic=overview-pool-values")</f>
        <v/>
      </c>
    </row>
    <row r="236" ht="18" customHeight="1">
      <c r="A236" s="8" t="inlineStr">
        <is>
          <t>11.3.5</t>
        </is>
      </c>
      <c r="B236" s="9" t="inlineStr">
        <is>
          <t xml:space="preserve">    Erasure code pools overview</t>
        </is>
      </c>
      <c r="C236" s="10">
        <f>HYPERLINK("https://www.ibm.com/docs/en/storage-ceph/9.9.1?topic=strategies-erasure-code-pools-overview","https://www.ibm.com/docs/en/storage-ceph/9.9.1?topic=strategies-erasure-code-pools-overview")</f>
        <v/>
      </c>
    </row>
    <row r="237" ht="18" customHeight="1">
      <c r="A237" s="8" t="inlineStr">
        <is>
          <t>11.3.5.1</t>
        </is>
      </c>
      <c r="B237" s="9" t="inlineStr">
        <is>
          <t xml:space="preserve">      Creating a sample erasure-coded pool</t>
        </is>
      </c>
      <c r="C237" s="10">
        <f>HYPERLINK("https://www.ibm.com/docs/en/storage-ceph/9.9.1?topic=overview-creating-sample-erasure-coded-pool","https://www.ibm.com/docs/en/storage-ceph/9.9.1?topic=overview-creating-sample-erasure-coded-pool")</f>
        <v/>
      </c>
    </row>
    <row r="238" ht="18" customHeight="1">
      <c r="A238" s="8" t="inlineStr">
        <is>
          <t>11.3.5.2</t>
        </is>
      </c>
      <c r="B238" s="9" t="inlineStr">
        <is>
          <t xml:space="preserve">      Erasure code profiles</t>
        </is>
      </c>
      <c r="C238" s="10">
        <f>HYPERLINK("https://www.ibm.com/docs/en/storage-ceph/9.9.1?topic=overview-erasure-code-profiles","https://www.ibm.com/docs/en/storage-ceph/9.9.1?topic=overview-erasure-code-profiles")</f>
        <v/>
      </c>
    </row>
    <row r="239" ht="18" customHeight="1">
      <c r="A239" s="8" t="inlineStr">
        <is>
          <t>11.3.5.2.1</t>
        </is>
      </c>
      <c r="B239" s="9" t="inlineStr">
        <is>
          <t xml:space="preserve">        Creating a new erasure-code-profile</t>
        </is>
      </c>
      <c r="C239" s="10">
        <f>HYPERLINK("https://www.ibm.com/docs/en/storage-ceph/9.9.1?topic=profiles-creating-new-erasure-code-profile","https://www.ibm.com/docs/en/storage-ceph/9.9.1?topic=profiles-creating-new-erasure-code-profile")</f>
        <v/>
      </c>
    </row>
    <row r="240" ht="18" customHeight="1">
      <c r="A240" s="8" t="inlineStr">
        <is>
          <t>11.3.5.2.2</t>
        </is>
      </c>
      <c r="B240" s="9" t="inlineStr">
        <is>
          <t xml:space="preserve">        Removing an existing erasure-code-profile</t>
        </is>
      </c>
      <c r="C240" s="10">
        <f>HYPERLINK("https://www.ibm.com/docs/en/storage-ceph/9.9.1?topic=profiles-removing-existing-erasure-code-profile","https://www.ibm.com/docs/en/storage-ceph/9.9.1?topic=profiles-removing-existing-erasure-code-profile")</f>
        <v/>
      </c>
    </row>
    <row r="241" ht="18" customHeight="1">
      <c r="A241" s="8" t="inlineStr">
        <is>
          <t>11.3.5.2.3</t>
        </is>
      </c>
      <c r="B241" s="9" t="inlineStr">
        <is>
          <t xml:space="preserve">        Fetching details for an erasure-code-profile</t>
        </is>
      </c>
      <c r="C241" s="10">
        <f>HYPERLINK("https://www.ibm.com/docs/en/storage-ceph/9.9.1?topic=profiles-fetching-details-erasure-code-profile","https://www.ibm.com/docs/en/storage-ceph/9.9.1?topic=profiles-fetching-details-erasure-code-profile")</f>
        <v/>
      </c>
    </row>
    <row r="242" ht="18" customHeight="1">
      <c r="A242" s="8" t="inlineStr">
        <is>
          <t>11.3.5.2.4</t>
        </is>
      </c>
      <c r="B242" s="9" t="inlineStr">
        <is>
          <t xml:space="preserve">        Listing all erasure-code-profile on cluster</t>
        </is>
      </c>
      <c r="C242" s="10">
        <f>HYPERLINK("https://www.ibm.com/docs/en/storage-ceph/9.9.1?topic=profiles-listing-all-erasure-code-profile-cluster","https://www.ibm.com/docs/en/storage-ceph/9.9.1?topic=profiles-listing-all-erasure-code-profile-cluster")</f>
        <v/>
      </c>
    </row>
    <row r="243" ht="18" customHeight="1">
      <c r="A243" s="8" t="inlineStr">
        <is>
          <t>11.3.5.3</t>
        </is>
      </c>
      <c r="B243" s="9" t="inlineStr">
        <is>
          <t xml:space="preserve">      Erasure coding with overwrites</t>
        </is>
      </c>
      <c r="C243" s="10">
        <f>HYPERLINK("https://www.ibm.com/docs/en/storage-ceph/9.9.1?topic=overview-erasure-coding-overwrites","https://www.ibm.com/docs/en/storage-ceph/9.9.1?topic=overview-erasure-coding-overwrites")</f>
        <v/>
      </c>
    </row>
    <row r="244" ht="18" customHeight="1">
      <c r="A244" s="8" t="inlineStr">
        <is>
          <t>11.3.5.4</t>
        </is>
      </c>
      <c r="B244" s="9" t="inlineStr">
        <is>
          <t xml:space="preserve">      Erasure coding optimizations</t>
        </is>
      </c>
      <c r="C244" s="10">
        <f>HYPERLINK("https://www.ibm.com/docs/en/storage-ceph/9.9.1?topic=overview-erasure-coding-optimizations","https://www.ibm.com/docs/en/storage-ceph/9.9.1?topic=overview-erasure-coding-optimizations")</f>
        <v/>
      </c>
    </row>
    <row r="245" ht="18" customHeight="1">
      <c r="A245" s="8" t="inlineStr">
        <is>
          <t>11.3.5.4.1</t>
        </is>
      </c>
      <c r="B245" s="9" t="inlineStr">
        <is>
          <t xml:space="preserve">        Enabling coding optimizations</t>
        </is>
      </c>
      <c r="C245" s="10">
        <f>HYPERLINK("https://www.ibm.com/docs/en/storage-ceph/9.9.1?topic=optimizations-enabling-coding","https://www.ibm.com/docs/en/storage-ceph/9.9.1?topic=optimizations-enabling-coding")</f>
        <v/>
      </c>
    </row>
    <row r="246" ht="18" customHeight="1">
      <c r="A246" s="8" t="inlineStr">
        <is>
          <t>11.3.5.5</t>
        </is>
      </c>
      <c r="B246" s="9" t="inlineStr">
        <is>
          <t xml:space="preserve">      Erasure code plugins</t>
        </is>
      </c>
      <c r="C246" s="10">
        <f>HYPERLINK("https://www.ibm.com/docs/en/storage-ceph/9.9.1?topic=overview-erasure-code-plugins","https://www.ibm.com/docs/en/storage-ceph/9.9.1?topic=overview-erasure-code-plugins")</f>
        <v/>
      </c>
    </row>
    <row r="247" ht="18" customHeight="1">
      <c r="A247" s="8" t="inlineStr">
        <is>
          <t>11.3.5.5.1</t>
        </is>
      </c>
      <c r="B247" s="9" t="inlineStr">
        <is>
          <t xml:space="preserve">        Creating a new erasure code profile using Jerasure erasure code plugin</t>
        </is>
      </c>
      <c r="C247" s="10">
        <f>HYPERLINK("https://www.ibm.com/docs/en/storage-ceph/9.9.1?topic=ecp-creating-new-erasure-code-profile-using-jerasure-erasure-code-plugin","https://www.ibm.com/docs/en/storage-ceph/9.9.1?topic=ecp-creating-new-erasure-code-profile-using-jerasure-erasure-code-plugin")</f>
        <v/>
      </c>
    </row>
    <row r="248" ht="18" customHeight="1">
      <c r="A248" s="8" t="inlineStr">
        <is>
          <t>11.3.5.5.1.1</t>
        </is>
      </c>
      <c r="B248" s="9" t="inlineStr">
        <is>
          <t xml:space="preserve">          Creating a new erasure code profile using the ISA-L erasure code plugin</t>
        </is>
      </c>
      <c r="C248" s="10">
        <f>HYPERLINK("https://www.ibm.com/docs/en/storage-ceph/9.9.1?topic=cnecpujecp-creating-new-erasure-code-profile-using-isa-l-erasure-code-plugin","https://www.ibm.com/docs/en/storage-ceph/9.9.1?topic=cnecpujecp-creating-new-erasure-code-profile-using-isa-l-erasure-code-plugin")</f>
        <v/>
      </c>
    </row>
    <row r="249" ht="18" customHeight="1">
      <c r="A249" s="8" t="inlineStr">
        <is>
          <t>11.3.5.5.2</t>
        </is>
      </c>
      <c r="B249" s="9" t="inlineStr">
        <is>
          <t xml:space="preserve">        Controlling CRUSH placement</t>
        </is>
      </c>
      <c r="C249" s="10">
        <f>HYPERLINK("https://www.ibm.com/docs/en/storage-ceph/9.9.1?topic=plugins-controlling-crush-placement","https://www.ibm.com/docs/en/storage-ceph/9.9.1?topic=plugins-controlling-crush-placement")</f>
        <v/>
      </c>
    </row>
    <row r="250" ht="18" customHeight="1">
      <c r="A250" s="5" t="inlineStr">
        <is>
          <t>11.4</t>
        </is>
      </c>
      <c r="B250" s="6" t="inlineStr">
        <is>
          <t xml:space="preserve">  Installation and upgrade requirements</t>
        </is>
      </c>
      <c r="C250" s="7">
        <f>HYPERLINK("https://www.ibm.com/docs/en/storage-ceph/9.9.1?topic=planning-installation-upgrade-requirements","https://www.ibm.com/docs/en/storage-ceph/9.9.1?topic=planning-installation-upgrade-requirements")</f>
        <v/>
      </c>
    </row>
    <row r="251" ht="18" customHeight="1">
      <c r="A251" s="2" t="inlineStr">
        <is>
          <t>12</t>
        </is>
      </c>
      <c r="B251" s="3" t="inlineStr">
        <is>
          <t>Installing</t>
        </is>
      </c>
      <c r="C251" s="4">
        <f>HYPERLINK("https://www.ibm.com/docs/en/storage-ceph/9.9.1?topic=installing","https://www.ibm.com/docs/en/storage-ceph/9.9.1?topic=installing")</f>
        <v/>
      </c>
    </row>
    <row r="252" ht="18" customHeight="1">
      <c r="A252" s="5" t="inlineStr">
        <is>
          <t>12.1</t>
        </is>
      </c>
      <c r="B252" s="6" t="inlineStr">
        <is>
          <t xml:space="preserve">  Installing Pro Edition for free</t>
        </is>
      </c>
      <c r="C252" s="7">
        <f>HYPERLINK("https://www.ibm.com/docs/en/storage-ceph/9.9.1?topic=installing-pro-edition-free","https://www.ibm.com/docs/en/storage-ceph/9.9.1?topic=installing-pro-edition-free")</f>
        <v/>
      </c>
    </row>
    <row r="253" ht="18" customHeight="1">
      <c r="A253" s="5" t="inlineStr">
        <is>
          <t>12.2</t>
        </is>
      </c>
      <c r="B253" s="6" t="inlineStr">
        <is>
          <t xml:space="preserve">  Quick installation steps</t>
        </is>
      </c>
      <c r="C253" s="7">
        <f>HYPERLINK("https://www.ibm.com/docs/en/storage-ceph/9.9.1?topic=installing-quick-installation-steps","https://www.ibm.com/docs/en/storage-ceph/9.9.1?topic=installing-quick-installation-steps")</f>
        <v/>
      </c>
    </row>
    <row r="254" ht="18" customHeight="1">
      <c r="A254" s="5" t="inlineStr">
        <is>
          <t>12.3</t>
        </is>
      </c>
      <c r="B254" s="6" t="inlineStr">
        <is>
          <t xml:space="preserve">  Initial installation</t>
        </is>
      </c>
      <c r="C254" s="7">
        <f>HYPERLINK("https://www.ibm.com/docs/en/storage-ceph/9.9.1?topic=installing-initial-installation","https://www.ibm.com/docs/en/storage-ceph/9.9.1?topic=installing-initial-installation")</f>
        <v/>
      </c>
    </row>
    <row r="255" ht="18" customHeight="1">
      <c r="A255" s="8" t="inlineStr">
        <is>
          <t>12.3.1</t>
        </is>
      </c>
      <c r="B255" s="9" t="inlineStr">
        <is>
          <t xml:space="preserve">    cephadm utility</t>
        </is>
      </c>
      <c r="C255" s="10">
        <f>HYPERLINK("https://www.ibm.com/docs/en/storage-ceph/9.9.1?topic=installation-cephadm-utility","https://www.ibm.com/docs/en/storage-ceph/9.9.1?topic=installation-cephadm-utility")</f>
        <v/>
      </c>
    </row>
    <row r="256" ht="18" customHeight="1">
      <c r="A256" s="8" t="inlineStr">
        <is>
          <t>12.3.1.1</t>
        </is>
      </c>
      <c r="B256" s="9" t="inlineStr">
        <is>
          <t xml:space="preserve">      How cephadm works</t>
        </is>
      </c>
      <c r="C256" s="10">
        <f>HYPERLINK("https://www.ibm.com/docs/en/storage-ceph/9.9.1?topic=utility-how-cephadm-works","https://www.ibm.com/docs/en/storage-ceph/9.9.1?topic=utility-how-cephadm-works")</f>
        <v/>
      </c>
    </row>
    <row r="257" ht="18" customHeight="1">
      <c r="A257" s="8" t="inlineStr">
        <is>
          <t>12.3.1.2</t>
        </is>
      </c>
      <c r="B257" s="9" t="inlineStr">
        <is>
          <t xml:space="preserve">      cephadm-ansible playbooks</t>
        </is>
      </c>
      <c r="C257" s="10">
        <f>HYPERLINK("https://www.ibm.com/docs/en/storage-ceph/9.9.1?topic=utility-cephadm-ansible-playbooks","https://www.ibm.com/docs/en/storage-ceph/9.9.1?topic=utility-cephadm-ansible-playbooks")</f>
        <v/>
      </c>
    </row>
    <row r="258" ht="18" customHeight="1">
      <c r="A258" s="8" t="inlineStr">
        <is>
          <t>12.3.2</t>
        </is>
      </c>
      <c r="B258" s="9" t="inlineStr">
        <is>
          <t xml:space="preserve">    Registering the IBM Storage Ceph nodes</t>
        </is>
      </c>
      <c r="C258" s="10">
        <f>HYPERLINK("https://www.ibm.com/docs/en/storage-ceph/9.9.1?topic=installation-registering-storage-ceph-nodes","https://www.ibm.com/docs/en/storage-ceph/9.9.1?topic=installation-registering-storage-ceph-nodes")</f>
        <v/>
      </c>
    </row>
    <row r="259" ht="18" customHeight="1">
      <c r="A259" s="8" t="inlineStr">
        <is>
          <t>12.3.3</t>
        </is>
      </c>
      <c r="B259" s="9" t="inlineStr">
        <is>
          <t xml:space="preserve">    Configuring Ansible inventory location</t>
        </is>
      </c>
      <c r="C259" s="10">
        <f>HYPERLINK("https://www.ibm.com/docs/en/storage-ceph/9.9.1?topic=installation-configuring-ansible-inventory-location","https://www.ibm.com/docs/en/storage-ceph/9.9.1?topic=installation-configuring-ansible-inventory-location")</f>
        <v/>
      </c>
    </row>
    <row r="260" ht="18" customHeight="1">
      <c r="A260" s="8" t="inlineStr">
        <is>
          <t>12.3.4</t>
        </is>
      </c>
      <c r="B260" s="9" t="inlineStr">
        <is>
          <t xml:space="preserve">    Enabling SSH login as root user on Red Hat Enterprise Linux 9 and 10</t>
        </is>
      </c>
      <c r="C260" s="10">
        <f>HYPERLINK("https://www.ibm.com/docs/en/storage-ceph/9.9.1?topic=ii-enabling-ssh-login-as-root-user-red-hat-enterprise-linux-9-10","https://www.ibm.com/docs/en/storage-ceph/9.9.1?topic=ii-enabling-ssh-login-as-root-user-red-hat-enterprise-linux-9-10")</f>
        <v/>
      </c>
    </row>
    <row r="261" ht="18" customHeight="1">
      <c r="A261" s="8" t="inlineStr">
        <is>
          <t>12.3.5</t>
        </is>
      </c>
      <c r="B261" s="9" t="inlineStr">
        <is>
          <t xml:space="preserve">    Creating an Ansible user with sudo access</t>
        </is>
      </c>
      <c r="C261" s="10">
        <f>HYPERLINK("https://www.ibm.com/docs/en/storage-ceph/9.9.1?topic=installation-creating-ansible-user-sudo-access","https://www.ibm.com/docs/en/storage-ceph/9.9.1?topic=installation-creating-ansible-user-sudo-access")</f>
        <v/>
      </c>
    </row>
    <row r="262" ht="18" customHeight="1">
      <c r="A262" s="8" t="inlineStr">
        <is>
          <t>12.3.6</t>
        </is>
      </c>
      <c r="B262" s="9" t="inlineStr">
        <is>
          <t xml:space="preserve">    Enabling password-less SSH for Ansible</t>
        </is>
      </c>
      <c r="C262" s="10">
        <f>HYPERLINK("https://www.ibm.com/docs/en/storage-ceph/9.9.1?topic=installation-enabling-password-less-ssh-ansible","https://www.ibm.com/docs/en/storage-ceph/9.9.1?topic=installation-enabling-password-less-ssh-ansible")</f>
        <v/>
      </c>
    </row>
    <row r="263" ht="18" customHeight="1">
      <c r="A263" s="8" t="inlineStr">
        <is>
          <t>12.3.7</t>
        </is>
      </c>
      <c r="B263" s="9" t="inlineStr">
        <is>
          <t xml:space="preserve">    Running the preflight playbook</t>
        </is>
      </c>
      <c r="C263" s="10">
        <f>HYPERLINK("https://www.ibm.com/docs/en/storage-ceph/9.9.1?topic=installation-running-preflight-playbook","https://www.ibm.com/docs/en/storage-ceph/9.9.1?topic=installation-running-preflight-playbook")</f>
        <v/>
      </c>
    </row>
    <row r="264" ht="18" customHeight="1">
      <c r="A264" s="8" t="inlineStr">
        <is>
          <t>12.3.8</t>
        </is>
      </c>
      <c r="B264" s="9" t="inlineStr">
        <is>
          <t xml:space="preserve">    Bootstrapping a new storage cluster</t>
        </is>
      </c>
      <c r="C264" s="10">
        <f>HYPERLINK("https://www.ibm.com/docs/en/storage-ceph/9.9.1?topic=installation-bootstrapping-new-storage-cluster","https://www.ibm.com/docs/en/storage-ceph/9.9.1?topic=installation-bootstrapping-new-storage-cluster")</f>
        <v/>
      </c>
    </row>
    <row r="265" ht="18" customHeight="1">
      <c r="A265" s="8" t="inlineStr">
        <is>
          <t>12.3.8.1</t>
        </is>
      </c>
      <c r="B265" s="9" t="inlineStr">
        <is>
          <t xml:space="preserve">      Recommended cephadm bootstrap command options</t>
        </is>
      </c>
      <c r="C265" s="10">
        <f>HYPERLINK("https://www.ibm.com/docs/en/storage-ceph/9.9.1?topic=cluster-recommended-cephadm-bootstrap-command-options","https://www.ibm.com/docs/en/storage-ceph/9.9.1?topic=cluster-recommended-cephadm-bootstrap-command-options")</f>
        <v/>
      </c>
    </row>
    <row r="266" ht="18" customHeight="1">
      <c r="A266" s="8" t="inlineStr">
        <is>
          <t>12.3.8.2</t>
        </is>
      </c>
      <c r="B266" s="9" t="inlineStr">
        <is>
          <t xml:space="preserve">      Using a JSON file to protect login information</t>
        </is>
      </c>
      <c r="C266" s="10">
        <f>HYPERLINK("https://www.ibm.com/docs/en/storage-ceph/9.9.1?topic=cluster-using-json-file-protect-login-information","https://www.ibm.com/docs/en/storage-ceph/9.9.1?topic=cluster-using-json-file-protect-login-information")</f>
        <v/>
      </c>
    </row>
    <row r="267" ht="18" customHeight="1">
      <c r="A267" s="8" t="inlineStr">
        <is>
          <t>12.3.8.3</t>
        </is>
      </c>
      <c r="B267" s="9" t="inlineStr">
        <is>
          <t xml:space="preserve">      Bootstrap storage cluster along with Dashboard</t>
        </is>
      </c>
      <c r="C267" s="10">
        <f>HYPERLINK("https://www.ibm.com/docs/en/storage-ceph/9.9.1?topic=cluster-bootstrap-storage-along-dashboard","https://www.ibm.com/docs/en/storage-ceph/9.9.1?topic=cluster-bootstrap-storage-along-dashboard")</f>
        <v/>
      </c>
    </row>
    <row r="268" ht="18" customHeight="1">
      <c r="A268" s="8" t="inlineStr">
        <is>
          <t>12.3.8.4</t>
        </is>
      </c>
      <c r="B268" s="9" t="inlineStr">
        <is>
          <t xml:space="preserve">      Network port requirements for Ceph Dashboard</t>
        </is>
      </c>
      <c r="C268" s="10">
        <f>HYPERLINK("https://www.ibm.com/docs/en/storage-ceph/9.9.1?topic=cluster-network-port-requirements-ceph-dashboard","https://www.ibm.com/docs/en/storage-ceph/9.9.1?topic=cluster-network-port-requirements-ceph-dashboard")</f>
        <v/>
      </c>
    </row>
    <row r="269" ht="18" customHeight="1">
      <c r="A269" s="8" t="inlineStr">
        <is>
          <t>12.3.8.5</t>
        </is>
      </c>
      <c r="B269" s="9" t="inlineStr">
        <is>
          <t xml:space="preserve">      Bootstrapping a storage cluster using a service configuration file</t>
        </is>
      </c>
      <c r="C269" s="10">
        <f>HYPERLINK("https://www.ibm.com/docs/en/storage-ceph/9.9.1?topic=cluster-bootstrapping-storage-using-service-configuration-file","https://www.ibm.com/docs/en/storage-ceph/9.9.1?topic=cluster-bootstrapping-storage-using-service-configuration-file")</f>
        <v/>
      </c>
    </row>
    <row r="270" ht="18" customHeight="1">
      <c r="A270" s="8" t="inlineStr">
        <is>
          <t>12.3.8.6</t>
        </is>
      </c>
      <c r="B270" s="9" t="inlineStr">
        <is>
          <t xml:space="preserve">      Bootstrapping the storage cluster as a non-root user</t>
        </is>
      </c>
      <c r="C270" s="10">
        <f>HYPERLINK("https://www.ibm.com/docs/en/storage-ceph/9.9.1?topic=cluster-bootstrapping-storage-as-non-root-user","https://www.ibm.com/docs/en/storage-ceph/9.9.1?topic=cluster-bootstrapping-storage-as-non-root-user")</f>
        <v/>
      </c>
    </row>
    <row r="271" ht="18" customHeight="1">
      <c r="A271" s="8" t="inlineStr">
        <is>
          <t>12.3.8.7</t>
        </is>
      </c>
      <c r="B271" s="9" t="inlineStr">
        <is>
          <t xml:space="preserve">      Bootstrap command options</t>
        </is>
      </c>
      <c r="C271" s="10">
        <f>HYPERLINK("https://www.ibm.com/docs/en/storage-ceph/9.9.1?topic=cluster-bootstrap-command-options","https://www.ibm.com/docs/en/storage-ceph/9.9.1?topic=cluster-bootstrap-command-options")</f>
        <v/>
      </c>
    </row>
    <row r="272" ht="18" customHeight="1">
      <c r="A272" s="8" t="inlineStr">
        <is>
          <t>12.3.8.8</t>
        </is>
      </c>
      <c r="B272" s="9" t="inlineStr">
        <is>
          <t xml:space="preserve">      Obtaining an entitlement key</t>
        </is>
      </c>
      <c r="C272" s="10">
        <f>HYPERLINK("https://www.ibm.com/docs/en/storage-ceph/9.9.1?topic=cluster-obtaining-entitlement-key","https://www.ibm.com/docs/en/storage-ceph/9.9.1?topic=cluster-obtaining-entitlement-key")</f>
        <v/>
      </c>
    </row>
    <row r="273" ht="18" customHeight="1">
      <c r="A273" s="8" t="inlineStr">
        <is>
          <t>12.3.9</t>
        </is>
      </c>
      <c r="B273" s="9" t="inlineStr">
        <is>
          <t xml:space="preserve">    Distributing SSH keys</t>
        </is>
      </c>
      <c r="C273" s="10">
        <f>HYPERLINK("https://www.ibm.com/docs/en/storage-ceph/9.9.1?topic=installation-distributing-ssh-keys","https://www.ibm.com/docs/en/storage-ceph/9.9.1?topic=installation-distributing-ssh-keys")</f>
        <v/>
      </c>
    </row>
    <row r="274" ht="18" customHeight="1">
      <c r="A274" s="8" t="inlineStr">
        <is>
          <t>12.3.10</t>
        </is>
      </c>
      <c r="B274" s="9" t="inlineStr">
        <is>
          <t xml:space="preserve">    Disconnected (air gap) installation</t>
        </is>
      </c>
      <c r="C274" s="10">
        <f>HYPERLINK("https://www.ibm.com/docs/en/storage-ceph/9.9.1?topic=installation-disconnected-air-gap","https://www.ibm.com/docs/en/storage-ceph/9.9.1?topic=installation-disconnected-air-gap")</f>
        <v/>
      </c>
    </row>
    <row r="275" ht="18" customHeight="1">
      <c r="A275" s="8" t="inlineStr">
        <is>
          <t>12.3.10.1</t>
        </is>
      </c>
      <c r="B275" s="9" t="inlineStr">
        <is>
          <t xml:space="preserve">      Configuring a private registry for a disconnected installation</t>
        </is>
      </c>
      <c r="C275" s="10">
        <f>HYPERLINK("https://www.ibm.com/docs/en/storage-ceph/9.9.1?topic=installation-configuring-private-registry-disconnected","https://www.ibm.com/docs/en/storage-ceph/9.9.1?topic=installation-configuring-private-registry-disconnected")</f>
        <v/>
      </c>
    </row>
    <row r="276" ht="18" customHeight="1">
      <c r="A276" s="8" t="inlineStr">
        <is>
          <t>12.3.10.2</t>
        </is>
      </c>
      <c r="B276" s="9" t="inlineStr">
        <is>
          <t xml:space="preserve">      Running the preflight playbook for a disconnected installation</t>
        </is>
      </c>
      <c r="C276" s="10">
        <f>HYPERLINK("https://www.ibm.com/docs/en/storage-ceph/9.9.1?topic=installation-running-preflight-playbook-disconnected","https://www.ibm.com/docs/en/storage-ceph/9.9.1?topic=installation-running-preflight-playbook-disconnected")</f>
        <v/>
      </c>
    </row>
    <row r="277" ht="18" customHeight="1">
      <c r="A277" s="8" t="inlineStr">
        <is>
          <t>12.3.10.3</t>
        </is>
      </c>
      <c r="B277" s="9" t="inlineStr">
        <is>
          <t xml:space="preserve">      Performing a disconnected installation</t>
        </is>
      </c>
      <c r="C277" s="10">
        <f>HYPERLINK("https://www.ibm.com/docs/en/storage-ceph/9.9.1?topic=installation-performing-disconnected","https://www.ibm.com/docs/en/storage-ceph/9.9.1?topic=installation-performing-disconnected")</f>
        <v/>
      </c>
    </row>
    <row r="278" ht="18" customHeight="1">
      <c r="A278" s="8" t="inlineStr">
        <is>
          <t>12.3.10.4</t>
        </is>
      </c>
      <c r="B278" s="9" t="inlineStr">
        <is>
          <t xml:space="preserve">      Changing configurations of custom container images for disconnected installations</t>
        </is>
      </c>
      <c r="C278" s="10">
        <f>HYPERLINK("https://www.ibm.com/docs/en/storage-ceph/9.9.1?topic=installation-changing-configurations-custom-container-images-disconnected-installations","https://www.ibm.com/docs/en/storage-ceph/9.9.1?topic=installation-changing-configurations-custom-container-images-disconnected-installations")</f>
        <v/>
      </c>
    </row>
    <row r="279" ht="18" customHeight="1">
      <c r="A279" s="8" t="inlineStr">
        <is>
          <t>12.3.10.5</t>
        </is>
      </c>
      <c r="B279" s="9" t="inlineStr">
        <is>
          <t xml:space="preserve">      Adding hosts in disconnected deployments</t>
        </is>
      </c>
      <c r="C279" s="10">
        <f>HYPERLINK("https://www.ibm.com/docs/en/storage-ceph/9.9.1?topic=installation-adding-hosts-in-disconnected-deployments","https://www.ibm.com/docs/en/storage-ceph/9.9.1?topic=installation-adding-hosts-in-disconnected-deployments")</f>
        <v/>
      </c>
    </row>
    <row r="280" ht="18" customHeight="1">
      <c r="A280" s="5" t="inlineStr">
        <is>
          <t>12.4</t>
        </is>
      </c>
      <c r="B280" s="6" t="inlineStr">
        <is>
          <t xml:space="preserve">  Post-bootstrap setup</t>
        </is>
      </c>
      <c r="C280" s="7">
        <f>HYPERLINK("https://www.ibm.com/docs/en/storage-ceph/9.9.1?topic=installing-post-bootstrap-setup","https://www.ibm.com/docs/en/storage-ceph/9.9.1?topic=installing-post-bootstrap-setup")</f>
        <v/>
      </c>
    </row>
    <row r="281" ht="18" customHeight="1">
      <c r="A281" s="8" t="inlineStr">
        <is>
          <t>12.4.1</t>
        </is>
      </c>
      <c r="B281" s="9" t="inlineStr">
        <is>
          <t xml:space="preserve">    Using the cephadm shell</t>
        </is>
      </c>
      <c r="C281" s="10">
        <f>HYPERLINK("https://www.ibm.com/docs/en/storage-ceph/9.9.1?topic=setup-using-cephadm-shell","https://www.ibm.com/docs/en/storage-ceph/9.9.1?topic=setup-using-cephadm-shell")</f>
        <v/>
      </c>
    </row>
    <row r="282" ht="18" customHeight="1">
      <c r="A282" s="8" t="inlineStr">
        <is>
          <t>12.4.2</t>
        </is>
      </c>
      <c r="B282" s="9" t="inlineStr">
        <is>
          <t xml:space="preserve">    cephadm commands</t>
        </is>
      </c>
      <c r="C282" s="10">
        <f>HYPERLINK("https://www.ibm.com/docs/en/storage-ceph/9.9.1?topic=setup-cephadm-commands","https://www.ibm.com/docs/en/storage-ceph/9.9.1?topic=setup-cephadm-commands")</f>
        <v/>
      </c>
    </row>
    <row r="283" ht="18" customHeight="1">
      <c r="A283" s="8" t="inlineStr">
        <is>
          <t>12.4.3</t>
        </is>
      </c>
      <c r="B283" s="9" t="inlineStr">
        <is>
          <t xml:space="preserve">    Verifying the cluster installation</t>
        </is>
      </c>
      <c r="C283" s="10">
        <f>HYPERLINK("https://www.ibm.com/docs/en/storage-ceph/9.9.1?topic=setup-verifying-cluster-installation","https://www.ibm.com/docs/en/storage-ceph/9.9.1?topic=setup-verifying-cluster-installation")</f>
        <v/>
      </c>
    </row>
    <row r="284" ht="18" customHeight="1">
      <c r="A284" s="8" t="inlineStr">
        <is>
          <t>12.4.4</t>
        </is>
      </c>
      <c r="B284" s="9" t="inlineStr">
        <is>
          <t xml:space="preserve">    Adding hosts</t>
        </is>
      </c>
      <c r="C284" s="10">
        <f>HYPERLINK("https://www.ibm.com/docs/en/storage-ceph/9.9.1?topic=setup-adding-hosts","https://www.ibm.com/docs/en/storage-ceph/9.9.1?topic=setup-adding-hosts")</f>
        <v/>
      </c>
    </row>
    <row r="285" ht="18" customHeight="1">
      <c r="A285" s="8" t="inlineStr">
        <is>
          <t>12.4.4.1</t>
        </is>
      </c>
      <c r="B285" s="9" t="inlineStr">
        <is>
          <t xml:space="preserve">      Using the addr option to identify hosts</t>
        </is>
      </c>
      <c r="C285" s="10">
        <f>HYPERLINK("https://www.ibm.com/docs/en/storage-ceph/9.9.1?topic=hosts-using-addr-option-identify","https://www.ibm.com/docs/en/storage-ceph/9.9.1?topic=hosts-using-addr-option-identify")</f>
        <v/>
      </c>
    </row>
    <row r="286" ht="18" customHeight="1">
      <c r="A286" s="8" t="inlineStr">
        <is>
          <t>12.4.4.2</t>
        </is>
      </c>
      <c r="B286" s="9" t="inlineStr">
        <is>
          <t xml:space="preserve">      Adding multiple hosts</t>
        </is>
      </c>
      <c r="C286" s="10">
        <f>HYPERLINK("https://www.ibm.com/docs/en/storage-ceph/9.9.1?topic=hosts-adding-multiple","https://www.ibm.com/docs/en/storage-ceph/9.9.1?topic=hosts-adding-multiple")</f>
        <v/>
      </c>
    </row>
    <row r="287" ht="18" customHeight="1">
      <c r="A287" s="8" t="inlineStr">
        <is>
          <t>12.4.5</t>
        </is>
      </c>
      <c r="B287" s="9" t="inlineStr">
        <is>
          <t xml:space="preserve">    Removing hosts</t>
        </is>
      </c>
      <c r="C287" s="10">
        <f>HYPERLINK("https://www.ibm.com/docs/en/storage-ceph/9.9.1?topic=setup-removing-hosts","https://www.ibm.com/docs/en/storage-ceph/9.9.1?topic=setup-removing-hosts")</f>
        <v/>
      </c>
    </row>
    <row r="288" ht="18" customHeight="1">
      <c r="A288" s="8" t="inlineStr">
        <is>
          <t>12.4.6</t>
        </is>
      </c>
      <c r="B288" s="9" t="inlineStr">
        <is>
          <t xml:space="preserve">    Labeling hosts</t>
        </is>
      </c>
      <c r="C288" s="10">
        <f>HYPERLINK("https://www.ibm.com/docs/en/storage-ceph/9.9.1?topic=setup-labeling-hosts","https://www.ibm.com/docs/en/storage-ceph/9.9.1?topic=setup-labeling-hosts")</f>
        <v/>
      </c>
    </row>
    <row r="289" ht="18" customHeight="1">
      <c r="A289" s="8" t="inlineStr">
        <is>
          <t>12.4.6.1</t>
        </is>
      </c>
      <c r="B289" s="9" t="inlineStr">
        <is>
          <t xml:space="preserve">      Adding labels to a host</t>
        </is>
      </c>
      <c r="C289" s="10">
        <f>HYPERLINK("https://www.ibm.com/docs/en/storage-ceph/9.9.1?topic=hosts-adding-labels-host","https://www.ibm.com/docs/en/storage-ceph/9.9.1?topic=hosts-adding-labels-host")</f>
        <v/>
      </c>
    </row>
    <row r="290" ht="18" customHeight="1">
      <c r="A290" s="8" t="inlineStr">
        <is>
          <t>12.4.6.2</t>
        </is>
      </c>
      <c r="B290" s="9" t="inlineStr">
        <is>
          <t xml:space="preserve">      Removing labels from a host</t>
        </is>
      </c>
      <c r="C290" s="10">
        <f>HYPERLINK("https://www.ibm.com/docs/en/storage-ceph/9.9.1?topic=hosts-removing-labels-from-host","https://www.ibm.com/docs/en/storage-ceph/9.9.1?topic=hosts-removing-labels-from-host")</f>
        <v/>
      </c>
    </row>
    <row r="291" ht="18" customHeight="1">
      <c r="A291" s="8" t="inlineStr">
        <is>
          <t>12.4.6.3</t>
        </is>
      </c>
      <c r="B291" s="9" t="inlineStr">
        <is>
          <t xml:space="preserve">      Using host labels to deploy daemons on specific hosts</t>
        </is>
      </c>
      <c r="C291" s="10">
        <f>HYPERLINK("https://www.ibm.com/docs/en/storage-ceph/9.9.1?topic=hosts-using-host-labels-deploy-daemons-specific","https://www.ibm.com/docs/en/storage-ceph/9.9.1?topic=hosts-using-host-labels-deploy-daemons-specific")</f>
        <v/>
      </c>
    </row>
    <row r="292" ht="18" customHeight="1">
      <c r="A292" s="8" t="inlineStr">
        <is>
          <t>12.4.6.4</t>
        </is>
      </c>
      <c r="B292" s="9" t="inlineStr">
        <is>
          <t xml:space="preserve">      Adding topological labels to a host</t>
        </is>
      </c>
      <c r="C292" s="10">
        <f>HYPERLINK("https://www.ibm.com/docs/en/storage-ceph/9.9.1?topic=hosts-adding-topological-labels-host","https://www.ibm.com/docs/en/storage-ceph/9.9.1?topic=hosts-adding-topological-labels-host")</f>
        <v/>
      </c>
    </row>
    <row r="293" ht="18" customHeight="1">
      <c r="A293" s="8" t="inlineStr">
        <is>
          <t>12.4.7</t>
        </is>
      </c>
      <c r="B293" s="9" t="inlineStr">
        <is>
          <t xml:space="preserve">    Adding Monitor service</t>
        </is>
      </c>
      <c r="C293" s="10">
        <f>HYPERLINK("https://www.ibm.com/docs/en/storage-ceph/9.9.1?topic=setup-adding-monitor-service","https://www.ibm.com/docs/en/storage-ceph/9.9.1?topic=setup-adding-monitor-service")</f>
        <v/>
      </c>
    </row>
    <row r="294" ht="18" customHeight="1">
      <c r="A294" s="8" t="inlineStr">
        <is>
          <t>12.4.7.1</t>
        </is>
      </c>
      <c r="B294" s="9" t="inlineStr">
        <is>
          <t xml:space="preserve">      Deploying Ceph monitor nodes using host labels</t>
        </is>
      </c>
      <c r="C294" s="10">
        <f>HYPERLINK("https://www.ibm.com/docs/en/storage-ceph/9.9.1?topic=service-deploying-ceph-monitor-nodes-using-host-labels","https://www.ibm.com/docs/en/storage-ceph/9.9.1?topic=service-deploying-ceph-monitor-nodes-using-host-labels")</f>
        <v/>
      </c>
    </row>
    <row r="295" ht="18" customHeight="1">
      <c r="A295" s="8" t="inlineStr">
        <is>
          <t>12.4.7.2</t>
        </is>
      </c>
      <c r="B295" s="9" t="inlineStr">
        <is>
          <t xml:space="preserve">      Adding Ceph Monitor nodes by IP address or network name</t>
        </is>
      </c>
      <c r="C295" s="10">
        <f>HYPERLINK("https://www.ibm.com/docs/en/storage-ceph/9.9.1?topic=ams-adding-ceph-monitor-nodes-by-ip-address-network-name","https://www.ibm.com/docs/en/storage-ceph/9.9.1?topic=ams-adding-ceph-monitor-nodes-by-ip-address-network-name")</f>
        <v/>
      </c>
    </row>
    <row r="296" ht="18" customHeight="1">
      <c r="A296" s="8" t="inlineStr">
        <is>
          <t>12.4.8</t>
        </is>
      </c>
      <c r="B296" s="9" t="inlineStr">
        <is>
          <t xml:space="preserve">    Setting up a custom SSH key on an existing cluster</t>
        </is>
      </c>
      <c r="C296" s="10">
        <f>HYPERLINK("https://www.ibm.com/docs/en/storage-ceph/9.9.1?topic=setup-setting-up-custom-ssh-key-existing-cluster","https://www.ibm.com/docs/en/storage-ceph/9.9.1?topic=setup-setting-up-custom-ssh-key-existing-cluster")</f>
        <v/>
      </c>
    </row>
    <row r="297" ht="18" customHeight="1">
      <c r="A297" s="8" t="inlineStr">
        <is>
          <t>12.4.8.1</t>
        </is>
      </c>
      <c r="B297" s="9" t="inlineStr">
        <is>
          <t xml:space="preserve">      Configuring a different SSH user</t>
        </is>
      </c>
      <c r="C297" s="10">
        <f>HYPERLINK("https://www.ibm.com/docs/en/storage-ceph/9.9.1?topic=cluster-configuring-different-ssh-user","https://www.ibm.com/docs/en/storage-ceph/9.9.1?topic=cluster-configuring-different-ssh-user")</f>
        <v/>
      </c>
    </row>
    <row r="298" ht="18" customHeight="1">
      <c r="A298" s="8" t="inlineStr">
        <is>
          <t>12.4.9</t>
        </is>
      </c>
      <c r="B298" s="9" t="inlineStr">
        <is>
          <t xml:space="preserve">    Setting up the admin node</t>
        </is>
      </c>
      <c r="C298" s="10">
        <f>HYPERLINK("https://www.ibm.com/docs/en/storage-ceph/9.9.1?topic=setup-setting-up-admin-node","https://www.ibm.com/docs/en/storage-ceph/9.9.1?topic=setup-setting-up-admin-node")</f>
        <v/>
      </c>
    </row>
    <row r="299" ht="18" customHeight="1">
      <c r="A299" s="8" t="inlineStr">
        <is>
          <t>12.4.9.1</t>
        </is>
      </c>
      <c r="B299" s="9" t="inlineStr">
        <is>
          <t xml:space="preserve">      Removing the admin label from a host</t>
        </is>
      </c>
      <c r="C299" s="10">
        <f>HYPERLINK("https://www.ibm.com/docs/en/storage-ceph/9.9.1?topic=node-removing-admin-label-from-host","https://www.ibm.com/docs/en/storage-ceph/9.9.1?topic=node-removing-admin-label-from-host")</f>
        <v/>
      </c>
    </row>
    <row r="300" ht="18" customHeight="1">
      <c r="A300" s="8" t="inlineStr">
        <is>
          <t>12.4.10</t>
        </is>
      </c>
      <c r="B300" s="9" t="inlineStr">
        <is>
          <t xml:space="preserve">    Adding Manager service</t>
        </is>
      </c>
      <c r="C300" s="10">
        <f>HYPERLINK("https://www.ibm.com/docs/en/storage-ceph/9.9.1?topic=setup-adding-manager-service","https://www.ibm.com/docs/en/storage-ceph/9.9.1?topic=setup-adding-manager-service")</f>
        <v/>
      </c>
    </row>
    <row r="301" ht="18" customHeight="1">
      <c r="A301" s="8" t="inlineStr">
        <is>
          <t>12.4.11</t>
        </is>
      </c>
      <c r="B301" s="9" t="inlineStr">
        <is>
          <t xml:space="preserve">    Adding OSDs</t>
        </is>
      </c>
      <c r="C301" s="10">
        <f>HYPERLINK("https://www.ibm.com/docs/en/storage-ceph/9.9.1?topic=setup-adding-osds","https://www.ibm.com/docs/en/storage-ceph/9.9.1?topic=setup-adding-osds")</f>
        <v/>
      </c>
    </row>
    <row r="302" ht="18" customHeight="1">
      <c r="A302" s="8" t="inlineStr">
        <is>
          <t>12.4.12</t>
        </is>
      </c>
      <c r="B302" s="9" t="inlineStr">
        <is>
          <t xml:space="preserve">    Purging the Ceph storage cluster</t>
        </is>
      </c>
      <c r="C302" s="10">
        <f>HYPERLINK("https://www.ibm.com/docs/en/storage-ceph/9.9.1?topic=setup-purging-ceph-storage-cluster","https://www.ibm.com/docs/en/storage-ceph/9.9.1?topic=setup-purging-ceph-storage-cluster")</f>
        <v/>
      </c>
    </row>
    <row r="303" ht="18" customHeight="1">
      <c r="A303" s="8" t="inlineStr">
        <is>
          <t>12.4.13</t>
        </is>
      </c>
      <c r="B303" s="9" t="inlineStr">
        <is>
          <t xml:space="preserve">    Deploying client nodes</t>
        </is>
      </c>
      <c r="C303" s="10">
        <f>HYPERLINK("https://www.ibm.com/docs/en/storage-ceph/9.9.1?topic=setup-deploying-client-nodes","https://www.ibm.com/docs/en/storage-ceph/9.9.1?topic=setup-deploying-client-nodes")</f>
        <v/>
      </c>
    </row>
    <row r="304" ht="18" customHeight="1">
      <c r="A304" s="5" t="inlineStr">
        <is>
          <t>12.5</t>
        </is>
      </c>
      <c r="B304" s="6" t="inlineStr">
        <is>
          <t xml:space="preserve">  Managing an  IBM Storage Ceph cluster using cephadm-ansible modules</t>
        </is>
      </c>
      <c r="C304" s="7">
        <f>HYPERLINK("https://www.ibm.com/docs/en/storage-ceph/9.9.1?topic=installing-managing-storage-ceph-cluster-using-cephadm-ansible-modules","https://www.ibm.com/docs/en/storage-ceph/9.9.1?topic=installing-managing-storage-ceph-cluster-using-cephadm-ansible-modules")</f>
        <v/>
      </c>
    </row>
    <row r="305" ht="18" customHeight="1">
      <c r="A305" s="8" t="inlineStr">
        <is>
          <t>12.5.1</t>
        </is>
      </c>
      <c r="B305" s="9" t="inlineStr">
        <is>
          <t xml:space="preserve">    cephadm-ansible modules</t>
        </is>
      </c>
      <c r="C305" s="10">
        <f>HYPERLINK("https://www.ibm.com/docs/en/storage-ceph/9.9.1?topic=modules-cephadm-ansible","https://www.ibm.com/docs/en/storage-ceph/9.9.1?topic=modules-cephadm-ansible")</f>
        <v/>
      </c>
    </row>
    <row r="306" ht="18" customHeight="1">
      <c r="A306" s="8" t="inlineStr">
        <is>
          <t>12.5.2</t>
        </is>
      </c>
      <c r="B306" s="9" t="inlineStr">
        <is>
          <t xml:space="preserve">    cephadm-ansible modules options</t>
        </is>
      </c>
      <c r="C306" s="10">
        <f>HYPERLINK("https://www.ibm.com/docs/en/storage-ceph/9.9.1?topic=modules-cephadm-ansible-options","https://www.ibm.com/docs/en/storage-ceph/9.9.1?topic=modules-cephadm-ansible-options")</f>
        <v/>
      </c>
    </row>
    <row r="307" ht="18" customHeight="1">
      <c r="A307" s="8" t="inlineStr">
        <is>
          <t>12.5.3</t>
        </is>
      </c>
      <c r="B307" s="9" t="inlineStr">
        <is>
          <t xml:space="preserve">    Bootstrapping a storage cluster using the cephadm_ansible modules</t>
        </is>
      </c>
      <c r="C307" s="10">
        <f>HYPERLINK("https://www.ibm.com/docs/en/storage-ceph/9.9.1?topic=modules-bootstrapping-storage-cluster-using-cephadm-ansible","https://www.ibm.com/docs/en/storage-ceph/9.9.1?topic=modules-bootstrapping-storage-cluster-using-cephadm-ansible")</f>
        <v/>
      </c>
    </row>
    <row r="308" ht="18" customHeight="1">
      <c r="A308" s="8" t="inlineStr">
        <is>
          <t>12.5.4</t>
        </is>
      </c>
      <c r="B308" s="9" t="inlineStr">
        <is>
          <t xml:space="preserve">    Adding or removing hosts using the ceph_orch_host module</t>
        </is>
      </c>
      <c r="C308" s="10">
        <f>HYPERLINK("https://www.ibm.com/docs/en/storage-ceph/9.9.1?topic=msccucam-adding-removing-hosts-using-ceph-orch-host-module","https://www.ibm.com/docs/en/storage-ceph/9.9.1?topic=msccucam-adding-removing-hosts-using-ceph-orch-host-module")</f>
        <v/>
      </c>
    </row>
    <row r="309" ht="18" customHeight="1">
      <c r="A309" s="8" t="inlineStr">
        <is>
          <t>12.5.5</t>
        </is>
      </c>
      <c r="B309" s="9" t="inlineStr">
        <is>
          <t xml:space="preserve">    Setting configuration options using the ceph_config module</t>
        </is>
      </c>
      <c r="C309" s="10">
        <f>HYPERLINK("https://www.ibm.com/docs/en/storage-ceph/9.9.1?topic=modules-setting-configuration-options-using-ceph-config-module","https://www.ibm.com/docs/en/storage-ceph/9.9.1?topic=modules-setting-configuration-options-using-ceph-config-module")</f>
        <v/>
      </c>
    </row>
    <row r="310" ht="18" customHeight="1">
      <c r="A310" s="8" t="inlineStr">
        <is>
          <t>12.5.6</t>
        </is>
      </c>
      <c r="B310" s="9" t="inlineStr">
        <is>
          <t xml:space="preserve">    Applying a service specification using the ceph_orch_apply module</t>
        </is>
      </c>
      <c r="C310" s="10">
        <f>HYPERLINK("https://www.ibm.com/docs/en/storage-ceph/9.9.1?topic=msccucam-applying-service-specification-using-ceph-orch-apply-module","https://www.ibm.com/docs/en/storage-ceph/9.9.1?topic=msccucam-applying-service-specification-using-ceph-orch-apply-module")</f>
        <v/>
      </c>
    </row>
    <row r="311" ht="18" customHeight="1">
      <c r="A311" s="8" t="inlineStr">
        <is>
          <t>12.5.7</t>
        </is>
      </c>
      <c r="B311" s="9" t="inlineStr">
        <is>
          <t xml:space="preserve">    Managing Ceph daemon states using the ceph_orch_daemon module</t>
        </is>
      </c>
      <c r="C311" s="10">
        <f>HYPERLINK("https://www.ibm.com/docs/en/storage-ceph/9.9.1?topic=msccucam-managing-ceph-daemon-states-using-ceph-orch-daemon-module","https://www.ibm.com/docs/en/storage-ceph/9.9.1?topic=msccucam-managing-ceph-daemon-states-using-ceph-orch-daemon-module")</f>
        <v/>
      </c>
    </row>
    <row r="312" ht="18" customHeight="1">
      <c r="A312" s="5" t="inlineStr">
        <is>
          <t>12.6</t>
        </is>
      </c>
      <c r="B312" s="6" t="inlineStr">
        <is>
          <t xml:space="preserve">  Day Two operations</t>
        </is>
      </c>
      <c r="C312" s="7">
        <f>HYPERLINK("https://www.ibm.com/docs/en/storage-ceph/9.9.1?topic=installing-day-two-operations","https://www.ibm.com/docs/en/storage-ceph/9.9.1?topic=installing-day-two-operations")</f>
        <v/>
      </c>
    </row>
    <row r="313" ht="18" customHeight="1">
      <c r="A313" s="2" t="inlineStr">
        <is>
          <t>13</t>
        </is>
      </c>
      <c r="B313" s="3" t="inlineStr">
        <is>
          <t>Upgrading</t>
        </is>
      </c>
      <c r="C313" s="4">
        <f>HYPERLINK("https://www.ibm.com/docs/en/storage-ceph/9.9.1?topic=upgrading","https://www.ibm.com/docs/en/storage-ceph/9.9.1?topic=upgrading")</f>
        <v/>
      </c>
    </row>
    <row r="314" ht="18" customHeight="1">
      <c r="A314" s="5" t="inlineStr">
        <is>
          <t>13.1</t>
        </is>
      </c>
      <c r="B314" s="6" t="inlineStr">
        <is>
          <t xml:space="preserve">  Supported upgrade and crossgrade paths</t>
        </is>
      </c>
      <c r="C314" s="7">
        <f>HYPERLINK("https://www.ibm.com/docs/en/storage-ceph/9.9.1?topic=upgrading-supported-upgrade-crossgrade-paths","https://www.ibm.com/docs/en/storage-ceph/9.9.1?topic=upgrading-supported-upgrade-crossgrade-paths")</f>
        <v/>
      </c>
    </row>
    <row r="315" ht="18" customHeight="1">
      <c r="A315" s="5" t="inlineStr">
        <is>
          <t>13.2</t>
        </is>
      </c>
      <c r="B315" s="6" t="inlineStr">
        <is>
          <t xml:space="preserve">  Upgrading an  IBM Storage Ceph cluster using cephadm</t>
        </is>
      </c>
      <c r="C315" s="7">
        <f>HYPERLINK("https://www.ibm.com/docs/en/storage-ceph/9.9.1?topic=upgrading-storage-ceph-cluster-using-cephadm","https://www.ibm.com/docs/en/storage-ceph/9.9.1?topic=upgrading-storage-ceph-cluster-using-cephadm")</f>
        <v/>
      </c>
    </row>
    <row r="316" ht="18" customHeight="1">
      <c r="A316" s="8" t="inlineStr">
        <is>
          <t>13.2.1</t>
        </is>
      </c>
      <c r="B316" s="9" t="inlineStr">
        <is>
          <t xml:space="preserve">    Upgrading the IBM Storage Ceph cluster</t>
        </is>
      </c>
      <c r="C316" s="10">
        <f>HYPERLINK("https://www.ibm.com/docs/en/storage-ceph/9.9.1?topic=cephadm-upgrading-storage-ceph-cluster","https://www.ibm.com/docs/en/storage-ceph/9.9.1?topic=cephadm-upgrading-storage-ceph-cluster")</f>
        <v/>
      </c>
    </row>
    <row r="317" ht="18" customHeight="1">
      <c r="A317" s="8" t="inlineStr">
        <is>
          <t>13.2.2</t>
        </is>
      </c>
      <c r="B317" s="9" t="inlineStr">
        <is>
          <t xml:space="preserve">    Crossgrading from Red Hat Ceph Storage 9.1 to IBM Storage Ceph  9.9.1</t>
        </is>
      </c>
      <c r="C317" s="10">
        <f>HYPERLINK("https://www.ibm.com/docs/en/storage-ceph/9.9.1?topic=usccuc-crossgrading-from-red-hat-ceph-storage-91-storage-ceph-991","https://www.ibm.com/docs/en/storage-ceph/9.9.1?topic=usccuc-crossgrading-from-red-hat-ceph-storage-91-storage-ceph-991")</f>
        <v/>
      </c>
    </row>
    <row r="318" ht="18" customHeight="1">
      <c r="A318" s="8" t="inlineStr">
        <is>
          <t>13.2.3</t>
        </is>
      </c>
      <c r="B318" s="9" t="inlineStr">
        <is>
          <t xml:space="preserve">    Upgrading cluster in a disconnected (air-gapped) environment</t>
        </is>
      </c>
      <c r="C318" s="10">
        <f>HYPERLINK("https://www.ibm.com/docs/en/storage-ceph/9.9.1?topic=cephadm-upgrading-cluster-in-disconnected-air-gapped-environment","https://www.ibm.com/docs/en/storage-ceph/9.9.1?topic=cephadm-upgrading-cluster-in-disconnected-air-gapped-environment")</f>
        <v/>
      </c>
    </row>
    <row r="319" ht="18" customHeight="1">
      <c r="A319" s="8" t="inlineStr">
        <is>
          <t>13.2.4</t>
        </is>
      </c>
      <c r="B319" s="9" t="inlineStr">
        <is>
          <t xml:space="preserve">    Updating an NVMe-oF service with a gateway group name</t>
        </is>
      </c>
      <c r="C319" s="10">
        <f>HYPERLINK("https://www.ibm.com/docs/en/storage-ceph/9.9.1?topic=cephadm-updating-nvme-service-gateway-group-name","https://www.ibm.com/docs/en/storage-ceph/9.9.1?topic=cephadm-updating-nvme-service-gateway-group-name")</f>
        <v/>
      </c>
    </row>
    <row r="320" ht="18" customHeight="1">
      <c r="A320" s="8" t="inlineStr">
        <is>
          <t>13.2.5</t>
        </is>
      </c>
      <c r="B320" s="9" t="inlineStr">
        <is>
          <t xml:space="preserve">    Updating Ceph Object Gateway (RGW) from IBM Storage Ceph 8.0 or earlier with multi-site to use cephadm self-signed certificates</t>
        </is>
      </c>
      <c r="C320" s="10">
        <f>HYPERLINK("https://www.ibm.com/docs/en/storage-ceph/9.9.1?topic=usccuc-updating-ceph-object-gateway-rgw-from-storage-ceph-80-earlier-multi-site-use-cephadm-self-signed-certificates","https://www.ibm.com/docs/en/storage-ceph/9.9.1?topic=usccuc-updating-ceph-object-gateway-rgw-from-storage-ceph-80-earlier-multi-site-use-cephadm-self-signed-certificates")</f>
        <v/>
      </c>
    </row>
    <row r="321" ht="18" customHeight="1">
      <c r="A321" s="8" t="inlineStr">
        <is>
          <t>13.2.6</t>
        </is>
      </c>
      <c r="B321" s="9" t="inlineStr">
        <is>
          <t xml:space="preserve">    Checking whether OSDs are safe to upgrade</t>
        </is>
      </c>
      <c r="C321" s="10">
        <f>HYPERLINK("https://www.ibm.com/docs/en/storage-ceph/9.9.1?topic=cephadm-checking-whether-osds-are-safe-upgrade","https://www.ibm.com/docs/en/storage-ceph/9.9.1?topic=cephadm-checking-whether-osds-are-safe-upgrade")</f>
        <v/>
      </c>
    </row>
    <row r="322" ht="18" customHeight="1">
      <c r="A322" s="8" t="inlineStr">
        <is>
          <t>13.2.7</t>
        </is>
      </c>
      <c r="B322" s="9" t="inlineStr">
        <is>
          <t xml:space="preserve">    Upgrading OSDs by rack</t>
        </is>
      </c>
      <c r="C322" s="10">
        <f>HYPERLINK("https://www.ibm.com/docs/en/storage-ceph/9.9.1?topic=cephadm-upgrading-osds-by-rack","https://www.ibm.com/docs/en/storage-ceph/9.9.1?topic=cephadm-upgrading-osds-by-rack")</f>
        <v/>
      </c>
    </row>
    <row r="323" ht="18" customHeight="1">
      <c r="A323" s="8" t="inlineStr">
        <is>
          <t>13.2.8</t>
        </is>
      </c>
      <c r="B323" s="9" t="inlineStr">
        <is>
          <t xml:space="preserve">    Rotating CephX keys</t>
        </is>
      </c>
      <c r="C323" s="10">
        <f>HYPERLINK("https://www.ibm.com/docs/en/storage-ceph/9.9.1?topic=cephadm-rotating-cephx-keys","https://www.ibm.com/docs/en/storage-ceph/9.9.1?topic=cephadm-rotating-cephx-keys")</f>
        <v/>
      </c>
    </row>
    <row r="324" ht="18" customHeight="1">
      <c r="A324" s="5" t="inlineStr">
        <is>
          <t>13.3</t>
        </is>
      </c>
      <c r="B324" s="6" t="inlineStr">
        <is>
          <t xml:space="preserve">  Upgrading a host operating system from RHEL 9 to RHEL 10</t>
        </is>
      </c>
      <c r="C324" s="7">
        <f>HYPERLINK("https://www.ibm.com/docs/en/storage-ceph/9.9.1?topic=upgrading-host-operating-system-from-rhel-9-rhel-10","https://www.ibm.com/docs/en/storage-ceph/9.9.1?topic=upgrading-host-operating-system-from-rhel-9-rhel-10")</f>
        <v/>
      </c>
    </row>
    <row r="325" ht="18" customHeight="1">
      <c r="A325" s="5" t="inlineStr">
        <is>
          <t>13.4</t>
        </is>
      </c>
      <c r="B325" s="6" t="inlineStr">
        <is>
          <t xml:space="preserve">  Upgrading to 9.9.1 with RHEL 10 with stretch mode enabled from previous versions</t>
        </is>
      </c>
      <c r="C325" s="7">
        <f>HYPERLINK("https://www.ibm.com/docs/en/storage-ceph/9.9.1?topic=upgrading-991-rhel-10-stretch-mode-enabled-from-previous-versions","https://www.ibm.com/docs/en/storage-ceph/9.9.1?topic=upgrading-991-rhel-10-stretch-mode-enabled-from-previous-versions")</f>
        <v/>
      </c>
    </row>
    <row r="326" ht="18" customHeight="1">
      <c r="A326" s="5" t="inlineStr">
        <is>
          <t>13.5</t>
        </is>
      </c>
      <c r="B326" s="6" t="inlineStr">
        <is>
          <t xml:space="preserve">  Running a staggered upgrade</t>
        </is>
      </c>
      <c r="C326" s="7">
        <f>HYPERLINK("https://www.ibm.com/docs/en/storage-ceph/9.9.1?topic=upgrading-running-staggered-upgrade","https://www.ibm.com/docs/en/storage-ceph/9.9.1?topic=upgrading-running-staggered-upgrade")</f>
        <v/>
      </c>
    </row>
    <row r="327" ht="18" customHeight="1">
      <c r="A327" s="5" t="inlineStr">
        <is>
          <t>13.6</t>
        </is>
      </c>
      <c r="B327" s="6" t="inlineStr">
        <is>
          <t xml:space="preserve">  Monitoring and managing upgrade</t>
        </is>
      </c>
      <c r="C327" s="7">
        <f>HYPERLINK("https://www.ibm.com/docs/en/storage-ceph/9.9.1?topic=upgrading-monitoring-managing-upgrade","https://www.ibm.com/docs/en/storage-ceph/9.9.1?topic=upgrading-monitoring-managing-upgrade")</f>
        <v/>
      </c>
    </row>
    <row r="328" ht="18" customHeight="1">
      <c r="A328" s="2" t="inlineStr">
        <is>
          <t>14</t>
        </is>
      </c>
      <c r="B328" s="3" t="inlineStr">
        <is>
          <t>Configuring</t>
        </is>
      </c>
      <c r="C328" s="4">
        <f>HYPERLINK("https://www.ibm.com/docs/en/storage-ceph/9.9.1?topic=configuring","https://www.ibm.com/docs/en/storage-ceph/9.9.1?topic=configuring")</f>
        <v/>
      </c>
    </row>
    <row r="329" ht="18" customHeight="1">
      <c r="A329" s="5" t="inlineStr">
        <is>
          <t>14.1</t>
        </is>
      </c>
      <c r="B329" s="6" t="inlineStr">
        <is>
          <t xml:space="preserve">  Ceph configuration</t>
        </is>
      </c>
      <c r="C329" s="7">
        <f>HYPERLINK("https://www.ibm.com/docs/en/storage-ceph/9.9.1?topic=configuring-ceph-configuration","https://www.ibm.com/docs/en/storage-ceph/9.9.1?topic=configuring-ceph-configuration")</f>
        <v/>
      </c>
    </row>
    <row r="330" ht="18" customHeight="1">
      <c r="A330" s="8" t="inlineStr">
        <is>
          <t>14.1.1</t>
        </is>
      </c>
      <c r="B330" s="9" t="inlineStr">
        <is>
          <t xml:space="preserve">    Configuration database</t>
        </is>
      </c>
      <c r="C330" s="10">
        <f>HYPERLINK("https://www.ibm.com/docs/en/storage-ceph/9.9.1?topic=configuration-database","https://www.ibm.com/docs/en/storage-ceph/9.9.1?topic=configuration-database")</f>
        <v/>
      </c>
    </row>
    <row r="331" ht="18" customHeight="1">
      <c r="A331" s="8" t="inlineStr">
        <is>
          <t>14.1.2</t>
        </is>
      </c>
      <c r="B331" s="9" t="inlineStr">
        <is>
          <t xml:space="preserve">    Using the Ceph metavariables</t>
        </is>
      </c>
      <c r="C331" s="10">
        <f>HYPERLINK("https://www.ibm.com/docs/en/storage-ceph/9.9.1?topic=configuration-using-ceph-metavariables","https://www.ibm.com/docs/en/storage-ceph/9.9.1?topic=configuration-using-ceph-metavariables")</f>
        <v/>
      </c>
    </row>
    <row r="332" ht="18" customHeight="1">
      <c r="A332" s="8" t="inlineStr">
        <is>
          <t>14.1.3</t>
        </is>
      </c>
      <c r="B332" s="9" t="inlineStr">
        <is>
          <t xml:space="preserve">    Viewing the Ceph configuration at runtime</t>
        </is>
      </c>
      <c r="C332" s="10">
        <f>HYPERLINK("https://www.ibm.com/docs/en/storage-ceph/9.9.1?topic=configuration-viewing-ceph-runtime","https://www.ibm.com/docs/en/storage-ceph/9.9.1?topic=configuration-viewing-ceph-runtime")</f>
        <v/>
      </c>
    </row>
    <row r="333" ht="18" customHeight="1">
      <c r="A333" s="8" t="inlineStr">
        <is>
          <t>14.1.4</t>
        </is>
      </c>
      <c r="B333" s="9" t="inlineStr">
        <is>
          <t xml:space="preserve">    Viewing a specific configuration at runtime</t>
        </is>
      </c>
      <c r="C333" s="10">
        <f>HYPERLINK("https://www.ibm.com/docs/en/storage-ceph/9.9.1?topic=configuration-viewing-specific-runtime","https://www.ibm.com/docs/en/storage-ceph/9.9.1?topic=configuration-viewing-specific-runtime")</f>
        <v/>
      </c>
    </row>
    <row r="334" ht="18" customHeight="1">
      <c r="A334" s="8" t="inlineStr">
        <is>
          <t>14.1.5</t>
        </is>
      </c>
      <c r="B334" s="9" t="inlineStr">
        <is>
          <t xml:space="preserve">    Setting a specific configuration at runtime</t>
        </is>
      </c>
      <c r="C334" s="10">
        <f>HYPERLINK("https://www.ibm.com/docs/en/storage-ceph/9.9.1?topic=configuration-setting-specific-runtime","https://www.ibm.com/docs/en/storage-ceph/9.9.1?topic=configuration-setting-specific-runtime")</f>
        <v/>
      </c>
    </row>
    <row r="335" ht="18" customHeight="1">
      <c r="A335" s="8" t="inlineStr">
        <is>
          <t>14.1.6</t>
        </is>
      </c>
      <c r="B335" s="9" t="inlineStr">
        <is>
          <t xml:space="preserve">    OSD Memory Target</t>
        </is>
      </c>
      <c r="C335" s="10">
        <f>HYPERLINK("https://www.ibm.com/docs/en/storage-ceph/9.9.1?topic=configuration-osd-memory-target","https://www.ibm.com/docs/en/storage-ceph/9.9.1?topic=configuration-osd-memory-target")</f>
        <v/>
      </c>
    </row>
    <row r="336" ht="18" customHeight="1">
      <c r="A336" s="8" t="inlineStr">
        <is>
          <t>14.1.6.1</t>
        </is>
      </c>
      <c r="B336" s="9" t="inlineStr">
        <is>
          <t xml:space="preserve">      Setting the OSD memory target</t>
        </is>
      </c>
      <c r="C336" s="10">
        <f>HYPERLINK("https://www.ibm.com/docs/en/storage-ceph/9.9.1?topic=target-setting-osd-memory","https://www.ibm.com/docs/en/storage-ceph/9.9.1?topic=target-setting-osd-memory")</f>
        <v/>
      </c>
    </row>
    <row r="337" ht="18" customHeight="1">
      <c r="A337" s="8" t="inlineStr">
        <is>
          <t>14.1.7</t>
        </is>
      </c>
      <c r="B337" s="9" t="inlineStr">
        <is>
          <t xml:space="preserve">    Automatically tuning OSD memory</t>
        </is>
      </c>
      <c r="C337" s="10">
        <f>HYPERLINK("https://www.ibm.com/docs/en/storage-ceph/9.9.1?topic=configuration-automatically-tuning-osd-memory","https://www.ibm.com/docs/en/storage-ceph/9.9.1?topic=configuration-automatically-tuning-osd-memory")</f>
        <v/>
      </c>
    </row>
    <row r="338" ht="18" customHeight="1">
      <c r="A338" s="8" t="inlineStr">
        <is>
          <t>14.1.8</t>
        </is>
      </c>
      <c r="B338" s="9" t="inlineStr">
        <is>
          <t xml:space="preserve">    MDS Memory Cache Limit</t>
        </is>
      </c>
      <c r="C338" s="10">
        <f>HYPERLINK("https://www.ibm.com/docs/en/storage-ceph/9.9.1?topic=configuration-mds-memory-cache-limit","https://www.ibm.com/docs/en/storage-ceph/9.9.1?topic=configuration-mds-memory-cache-limit")</f>
        <v/>
      </c>
    </row>
    <row r="339" ht="18" customHeight="1">
      <c r="A339" s="8" t="inlineStr">
        <is>
          <t>14.1.9</t>
        </is>
      </c>
      <c r="B339" s="9" t="inlineStr">
        <is>
          <t xml:space="preserve">    General configuration options</t>
        </is>
      </c>
      <c r="C339" s="10">
        <f>HYPERLINK("https://www.ibm.com/docs/en/storage-ceph/9.9.1?topic=configuration-general-options","https://www.ibm.com/docs/en/storage-ceph/9.9.1?topic=configuration-general-options")</f>
        <v/>
      </c>
    </row>
    <row r="340" ht="18" customHeight="1">
      <c r="A340" s="5" t="inlineStr">
        <is>
          <t>14.2</t>
        </is>
      </c>
      <c r="B340" s="6" t="inlineStr">
        <is>
          <t xml:space="preserve">  Ceph network configuration</t>
        </is>
      </c>
      <c r="C340" s="7">
        <f>HYPERLINK("https://www.ibm.com/docs/en/storage-ceph/9.9.1?topic=configuring-ceph-network-configuration","https://www.ibm.com/docs/en/storage-ceph/9.9.1?topic=configuring-ceph-network-configuration")</f>
        <v/>
      </c>
    </row>
    <row r="341" ht="18" customHeight="1">
      <c r="A341" s="8" t="inlineStr">
        <is>
          <t>14.2.1</t>
        </is>
      </c>
      <c r="B341" s="9" t="inlineStr">
        <is>
          <t xml:space="preserve">    Network configuration for Ceph</t>
        </is>
      </c>
      <c r="C341" s="10">
        <f>HYPERLINK("https://www.ibm.com/docs/en/storage-ceph/9.9.1?topic=configuration-network-ceph","https://www.ibm.com/docs/en/storage-ceph/9.9.1?topic=configuration-network-ceph")</f>
        <v/>
      </c>
    </row>
    <row r="342" ht="18" customHeight="1">
      <c r="A342" s="8" t="inlineStr">
        <is>
          <t>14.2.2</t>
        </is>
      </c>
      <c r="B342" s="9" t="inlineStr">
        <is>
          <t xml:space="preserve">    Network messenger</t>
        </is>
      </c>
      <c r="C342" s="10">
        <f>HYPERLINK("https://www.ibm.com/docs/en/storage-ceph/9.9.1?topic=configuration-network-messenger","https://www.ibm.com/docs/en/storage-ceph/9.9.1?topic=configuration-network-messenger")</f>
        <v/>
      </c>
    </row>
    <row r="343" ht="18" customHeight="1">
      <c r="A343" s="8" t="inlineStr">
        <is>
          <t>14.2.3</t>
        </is>
      </c>
      <c r="B343" s="9" t="inlineStr">
        <is>
          <t xml:space="preserve">    Configuring a public network</t>
        </is>
      </c>
      <c r="C343" s="10">
        <f>HYPERLINK("https://www.ibm.com/docs/en/storage-ceph/9.9.1?topic=configuration-configuring-public-network","https://www.ibm.com/docs/en/storage-ceph/9.9.1?topic=configuration-configuring-public-network")</f>
        <v/>
      </c>
    </row>
    <row r="344" ht="18" customHeight="1">
      <c r="A344" s="8" t="inlineStr">
        <is>
          <t>14.2.4</t>
        </is>
      </c>
      <c r="B344" s="9" t="inlineStr">
        <is>
          <t xml:space="preserve">    Configuring a private network</t>
        </is>
      </c>
      <c r="C344" s="10">
        <f>HYPERLINK("https://www.ibm.com/docs/en/storage-ceph/9.9.1?topic=configuration-configuring-private-network","https://www.ibm.com/docs/en/storage-ceph/9.9.1?topic=configuration-configuring-private-network")</f>
        <v/>
      </c>
    </row>
    <row r="345" ht="18" customHeight="1">
      <c r="A345" s="8" t="inlineStr">
        <is>
          <t>14.2.5</t>
        </is>
      </c>
      <c r="B345" s="9" t="inlineStr">
        <is>
          <t xml:space="preserve">    Configuring multiple public networks to the cluster</t>
        </is>
      </c>
      <c r="C345" s="10">
        <f>HYPERLINK("https://www.ibm.com/docs/en/storage-ceph/9.9.1?topic=configuration-configuring-multiple-public-networks-cluster","https://www.ibm.com/docs/en/storage-ceph/9.9.1?topic=configuration-configuring-multiple-public-networks-cluster")</f>
        <v/>
      </c>
    </row>
    <row r="346" ht="18" customHeight="1">
      <c r="A346" s="8" t="inlineStr">
        <is>
          <t>14.2.6</t>
        </is>
      </c>
      <c r="B346" s="9" t="inlineStr">
        <is>
          <t xml:space="preserve">    Verifying firewall rules are configured for default Ceph ports</t>
        </is>
      </c>
      <c r="C346" s="10">
        <f>HYPERLINK("https://www.ibm.com/docs/en/storage-ceph/9.9.1?topic=cnc-verifying-firewall-rules-are-configured-default-ceph-ports","https://www.ibm.com/docs/en/storage-ceph/9.9.1?topic=cnc-verifying-firewall-rules-are-configured-default-ceph-ports")</f>
        <v/>
      </c>
    </row>
    <row r="347" ht="18" customHeight="1">
      <c r="A347" s="8" t="inlineStr">
        <is>
          <t>14.2.7</t>
        </is>
      </c>
      <c r="B347" s="9" t="inlineStr">
        <is>
          <t xml:space="preserve">    Firewall settings for Ceph Monitor node</t>
        </is>
      </c>
      <c r="C347" s="10">
        <f>HYPERLINK("https://www.ibm.com/docs/en/storage-ceph/9.9.1?topic=configuration-firewall-settings-ceph-monitor-node","https://www.ibm.com/docs/en/storage-ceph/9.9.1?topic=configuration-firewall-settings-ceph-monitor-node")</f>
        <v/>
      </c>
    </row>
    <row r="348" ht="18" customHeight="1">
      <c r="A348" s="8" t="inlineStr">
        <is>
          <t>14.2.8</t>
        </is>
      </c>
      <c r="B348" s="9" t="inlineStr">
        <is>
          <t xml:space="preserve">    Firewall settings for Ceph OSDs</t>
        </is>
      </c>
      <c r="C348" s="10">
        <f>HYPERLINK("https://www.ibm.com/docs/en/storage-ceph/9.9.1?topic=configuration-firewall-settings-ceph-osds","https://www.ibm.com/docs/en/storage-ceph/9.9.1?topic=configuration-firewall-settings-ceph-osds")</f>
        <v/>
      </c>
    </row>
    <row r="349" ht="18" customHeight="1">
      <c r="A349" s="8" t="inlineStr">
        <is>
          <t>14.2.9</t>
        </is>
      </c>
      <c r="B349" s="9" t="inlineStr">
        <is>
          <t xml:space="preserve">    Network configuration options</t>
        </is>
      </c>
      <c r="C349" s="10">
        <f>HYPERLINK("https://www.ibm.com/docs/en/storage-ceph/9.9.1?topic=configuration-network-options","https://www.ibm.com/docs/en/storage-ceph/9.9.1?topic=configuration-network-options")</f>
        <v/>
      </c>
    </row>
    <row r="350" ht="18" customHeight="1">
      <c r="A350" s="5" t="inlineStr">
        <is>
          <t>14.3</t>
        </is>
      </c>
      <c r="B350" s="6" t="inlineStr">
        <is>
          <t xml:space="preserve">  Ceph Monitor configuration</t>
        </is>
      </c>
      <c r="C350" s="7">
        <f>HYPERLINK("https://www.ibm.com/docs/en/storage-ceph/9.9.1?topic=configuring-ceph-monitor-configuration","https://www.ibm.com/docs/en/storage-ceph/9.9.1?topic=configuring-ceph-monitor-configuration")</f>
        <v/>
      </c>
    </row>
    <row r="351" ht="18" customHeight="1">
      <c r="A351" s="8" t="inlineStr">
        <is>
          <t>14.3.1</t>
        </is>
      </c>
      <c r="B351" s="9" t="inlineStr">
        <is>
          <t xml:space="preserve">    Viewing the Ceph Monitor configuration database</t>
        </is>
      </c>
      <c r="C351" s="10">
        <f>HYPERLINK("https://www.ibm.com/docs/en/storage-ceph/9.9.1?topic=configuration-viewing-ceph-monitor-database","https://www.ibm.com/docs/en/storage-ceph/9.9.1?topic=configuration-viewing-ceph-monitor-database")</f>
        <v/>
      </c>
    </row>
    <row r="352" ht="18" customHeight="1">
      <c r="A352" s="8" t="inlineStr">
        <is>
          <t>14.3.2</t>
        </is>
      </c>
      <c r="B352" s="9" t="inlineStr">
        <is>
          <t xml:space="preserve">    Cluster maps</t>
        </is>
      </c>
      <c r="C352" s="10">
        <f>HYPERLINK("https://www.ibm.com/docs/en/storage-ceph/9.9.1?topic=configuration-cluster-maps","https://www.ibm.com/docs/en/storage-ceph/9.9.1?topic=configuration-cluster-maps")</f>
        <v/>
      </c>
    </row>
    <row r="353" ht="18" customHeight="1">
      <c r="A353" s="8" t="inlineStr">
        <is>
          <t>14.3.3</t>
        </is>
      </c>
      <c r="B353" s="9" t="inlineStr">
        <is>
          <t xml:space="preserve">    Ceph Monitor quorum</t>
        </is>
      </c>
      <c r="C353" s="10">
        <f>HYPERLINK("https://www.ibm.com/docs/en/storage-ceph/9.9.1?topic=configuration-ceph-monitor-quorum","https://www.ibm.com/docs/en/storage-ceph/9.9.1?topic=configuration-ceph-monitor-quorum")</f>
        <v/>
      </c>
    </row>
    <row r="354" ht="18" customHeight="1">
      <c r="A354" s="8" t="inlineStr">
        <is>
          <t>14.3.4</t>
        </is>
      </c>
      <c r="B354" s="9" t="inlineStr">
        <is>
          <t xml:space="preserve">    Ceph Monitor consistency</t>
        </is>
      </c>
      <c r="C354" s="10">
        <f>HYPERLINK("https://www.ibm.com/docs/en/storage-ceph/9.9.1?topic=configuration-ceph-monitor-consistency","https://www.ibm.com/docs/en/storage-ceph/9.9.1?topic=configuration-ceph-monitor-consistency")</f>
        <v/>
      </c>
    </row>
    <row r="355" ht="18" customHeight="1">
      <c r="A355" s="8" t="inlineStr">
        <is>
          <t>14.3.5</t>
        </is>
      </c>
      <c r="B355" s="9" t="inlineStr">
        <is>
          <t xml:space="preserve">    Bootstrap the Ceph Monitor</t>
        </is>
      </c>
      <c r="C355" s="10">
        <f>HYPERLINK("https://www.ibm.com/docs/en/storage-ceph/9.9.1?topic=configuration-bootstrap-ceph-monitor","https://www.ibm.com/docs/en/storage-ceph/9.9.1?topic=configuration-bootstrap-ceph-monitor")</f>
        <v/>
      </c>
    </row>
    <row r="356" ht="18" customHeight="1">
      <c r="A356" s="8" t="inlineStr">
        <is>
          <t>14.3.6</t>
        </is>
      </c>
      <c r="B356" s="9" t="inlineStr">
        <is>
          <t xml:space="preserve">    Minimum configuration for a Ceph Monitor</t>
        </is>
      </c>
      <c r="C356" s="10">
        <f>HYPERLINK("https://www.ibm.com/docs/en/storage-ceph/9.9.1?topic=configuration-minimum-ceph-monitor","https://www.ibm.com/docs/en/storage-ceph/9.9.1?topic=configuration-minimum-ceph-monitor")</f>
        <v/>
      </c>
    </row>
    <row r="357" ht="18" customHeight="1">
      <c r="A357" s="8" t="inlineStr">
        <is>
          <t>14.3.7</t>
        </is>
      </c>
      <c r="B357" s="9" t="inlineStr">
        <is>
          <t xml:space="preserve">    Unique identifier for Ceph</t>
        </is>
      </c>
      <c r="C357" s="10">
        <f>HYPERLINK("https://www.ibm.com/docs/en/storage-ceph/9.9.1?topic=configuration-unique-identifier-ceph","https://www.ibm.com/docs/en/storage-ceph/9.9.1?topic=configuration-unique-identifier-ceph")</f>
        <v/>
      </c>
    </row>
    <row r="358" ht="18" customHeight="1">
      <c r="A358" s="8" t="inlineStr">
        <is>
          <t>14.3.8</t>
        </is>
      </c>
      <c r="B358" s="9" t="inlineStr">
        <is>
          <t xml:space="preserve">    Ceph Monitor data store</t>
        </is>
      </c>
      <c r="C358" s="10">
        <f>HYPERLINK("https://www.ibm.com/docs/en/storage-ceph/9.9.1?topic=configuration-ceph-monitor-data-store","https://www.ibm.com/docs/en/storage-ceph/9.9.1?topic=configuration-ceph-monitor-data-store")</f>
        <v/>
      </c>
    </row>
    <row r="359" ht="18" customHeight="1">
      <c r="A359" s="8" t="inlineStr">
        <is>
          <t>14.3.9</t>
        </is>
      </c>
      <c r="B359" s="9" t="inlineStr">
        <is>
          <t xml:space="preserve">    Storage capacity</t>
        </is>
      </c>
      <c r="C359" s="10">
        <f>HYPERLINK("https://www.ibm.com/docs/en/storage-ceph/9.9.1?topic=configuration-storage-capacity","https://www.ibm.com/docs/en/storage-ceph/9.9.1?topic=configuration-storage-capacity")</f>
        <v/>
      </c>
    </row>
    <row r="360" ht="18" customHeight="1">
      <c r="A360" s="8" t="inlineStr">
        <is>
          <t>14.3.10</t>
        </is>
      </c>
      <c r="B360" s="9" t="inlineStr">
        <is>
          <t xml:space="preserve">    Ceph heartbeat</t>
        </is>
      </c>
      <c r="C360" s="10">
        <f>HYPERLINK("https://www.ibm.com/docs/en/storage-ceph/9.9.1?topic=configuration-ceph-heartbeat","https://www.ibm.com/docs/en/storage-ceph/9.9.1?topic=configuration-ceph-heartbeat")</f>
        <v/>
      </c>
    </row>
    <row r="361" ht="18" customHeight="1">
      <c r="A361" s="8" t="inlineStr">
        <is>
          <t>14.3.11</t>
        </is>
      </c>
      <c r="B361" s="9" t="inlineStr">
        <is>
          <t xml:space="preserve">    Ceph Monitor synchronization role</t>
        </is>
      </c>
      <c r="C361" s="10">
        <f>HYPERLINK("https://www.ibm.com/docs/en/storage-ceph/9.9.1?topic=configuration-ceph-monitor-synchronization-role","https://www.ibm.com/docs/en/storage-ceph/9.9.1?topic=configuration-ceph-monitor-synchronization-role")</f>
        <v/>
      </c>
    </row>
    <row r="362" ht="18" customHeight="1">
      <c r="A362" s="8" t="inlineStr">
        <is>
          <t>14.3.12</t>
        </is>
      </c>
      <c r="B362" s="9" t="inlineStr">
        <is>
          <t xml:space="preserve">    Time synchronization</t>
        </is>
      </c>
      <c r="C362" s="10">
        <f>HYPERLINK("https://www.ibm.com/docs/en/storage-ceph/9.9.1?topic=configuration-time-synchronization","https://www.ibm.com/docs/en/storage-ceph/9.9.1?topic=configuration-time-synchronization")</f>
        <v/>
      </c>
    </row>
    <row r="363" ht="18" customHeight="1">
      <c r="A363" s="8" t="inlineStr">
        <is>
          <t>14.3.13</t>
        </is>
      </c>
      <c r="B363" s="9" t="inlineStr">
        <is>
          <t xml:space="preserve">    Ceph Monitor configuration options</t>
        </is>
      </c>
      <c r="C363" s="10">
        <f>HYPERLINK("https://www.ibm.com/docs/en/storage-ceph/9.9.1?topic=configuration-ceph-monitor-options","https://www.ibm.com/docs/en/storage-ceph/9.9.1?topic=configuration-ceph-monitor-options")</f>
        <v/>
      </c>
    </row>
    <row r="364" ht="18" customHeight="1">
      <c r="A364" s="5" t="inlineStr">
        <is>
          <t>14.4</t>
        </is>
      </c>
      <c r="B364" s="6" t="inlineStr">
        <is>
          <t xml:space="preserve">  Ceph authentication configuration</t>
        </is>
      </c>
      <c r="C364" s="7">
        <f>HYPERLINK("https://www.ibm.com/docs/en/storage-ceph/9.9.1?topic=configuring-ceph-authentication-configuration","https://www.ibm.com/docs/en/storage-ceph/9.9.1?topic=configuring-ceph-authentication-configuration")</f>
        <v/>
      </c>
    </row>
    <row r="365" ht="18" customHeight="1">
      <c r="A365" s="8" t="inlineStr">
        <is>
          <t>14.4.1</t>
        </is>
      </c>
      <c r="B365" s="9" t="inlineStr">
        <is>
          <t xml:space="preserve">    Cephx authentication</t>
        </is>
      </c>
      <c r="C365" s="10">
        <f>HYPERLINK("https://www.ibm.com/docs/en/storage-ceph/9.9.1?topic=configuration-cephx-authentication","https://www.ibm.com/docs/en/storage-ceph/9.9.1?topic=configuration-cephx-authentication")</f>
        <v/>
      </c>
    </row>
    <row r="366" ht="18" customHeight="1">
      <c r="A366" s="8" t="inlineStr">
        <is>
          <t>14.4.2</t>
        </is>
      </c>
      <c r="B366" s="9" t="inlineStr">
        <is>
          <t xml:space="preserve">    Enabling Cephx</t>
        </is>
      </c>
      <c r="C366" s="10">
        <f>HYPERLINK("https://www.ibm.com/docs/en/storage-ceph/9.9.1?topic=configuration-enabling-cephx","https://www.ibm.com/docs/en/storage-ceph/9.9.1?topic=configuration-enabling-cephx")</f>
        <v/>
      </c>
    </row>
    <row r="367" ht="18" customHeight="1">
      <c r="A367" s="8" t="inlineStr">
        <is>
          <t>14.4.3</t>
        </is>
      </c>
      <c r="B367" s="9" t="inlineStr">
        <is>
          <t xml:space="preserve">    Disabling Cephx</t>
        </is>
      </c>
      <c r="C367" s="10">
        <f>HYPERLINK("https://www.ibm.com/docs/en/storage-ceph/9.9.1?topic=configuration-disabling-cephx","https://www.ibm.com/docs/en/storage-ceph/9.9.1?topic=configuration-disabling-cephx")</f>
        <v/>
      </c>
    </row>
    <row r="368" ht="18" customHeight="1">
      <c r="A368" s="8" t="inlineStr">
        <is>
          <t>14.4.4</t>
        </is>
      </c>
      <c r="B368" s="9" t="inlineStr">
        <is>
          <t xml:space="preserve">    Cephx user keyrings</t>
        </is>
      </c>
      <c r="C368" s="10">
        <f>HYPERLINK("https://www.ibm.com/docs/en/storage-ceph/9.9.1?topic=configuration-cephx-user-keyrings","https://www.ibm.com/docs/en/storage-ceph/9.9.1?topic=configuration-cephx-user-keyrings")</f>
        <v/>
      </c>
    </row>
    <row r="369" ht="18" customHeight="1">
      <c r="A369" s="8" t="inlineStr">
        <is>
          <t>14.4.5</t>
        </is>
      </c>
      <c r="B369" s="9" t="inlineStr">
        <is>
          <t xml:space="preserve">    CephX daemon keyrings</t>
        </is>
      </c>
      <c r="C369" s="10">
        <f>HYPERLINK("https://www.ibm.com/docs/en/storage-ceph/9.9.1?topic=configuration-cephx-daemon-keyrings","https://www.ibm.com/docs/en/storage-ceph/9.9.1?topic=configuration-cephx-daemon-keyrings")</f>
        <v/>
      </c>
    </row>
    <row r="370" ht="18" customHeight="1">
      <c r="A370" s="8" t="inlineStr">
        <is>
          <t>14.4.6</t>
        </is>
      </c>
      <c r="B370" s="9" t="inlineStr">
        <is>
          <t xml:space="preserve">    Cephx message signatures</t>
        </is>
      </c>
      <c r="C370" s="10">
        <f>HYPERLINK("https://www.ibm.com/docs/en/storage-ceph/9.9.1?topic=configuration-cephx-message-signatures","https://www.ibm.com/docs/en/storage-ceph/9.9.1?topic=configuration-cephx-message-signatures")</f>
        <v/>
      </c>
    </row>
    <row r="371" ht="18" customHeight="1">
      <c r="A371" s="8" t="inlineStr">
        <is>
          <t>14.4.7</t>
        </is>
      </c>
      <c r="B371" s="9" t="inlineStr">
        <is>
          <t xml:space="preserve">    Cephx configuration options</t>
        </is>
      </c>
      <c r="C371" s="10">
        <f>HYPERLINK("https://www.ibm.com/docs/en/storage-ceph/9.9.1?topic=configuration-cephx-options","https://www.ibm.com/docs/en/storage-ceph/9.9.1?topic=configuration-cephx-options")</f>
        <v/>
      </c>
    </row>
    <row r="372" ht="18" customHeight="1">
      <c r="A372" s="5" t="inlineStr">
        <is>
          <t>14.5</t>
        </is>
      </c>
      <c r="B372" s="6" t="inlineStr">
        <is>
          <t xml:space="preserve">  Pools, placement groups, and CRUSH configuration</t>
        </is>
      </c>
      <c r="C372" s="7">
        <f>HYPERLINK("https://www.ibm.com/docs/en/storage-ceph/9.9.1?topic=configuring-pools-placement-groups-crush-configuration","https://www.ibm.com/docs/en/storage-ceph/9.9.1?topic=configuring-pools-placement-groups-crush-configuration")</f>
        <v/>
      </c>
    </row>
    <row r="373" ht="18" customHeight="1">
      <c r="A373" s="8" t="inlineStr">
        <is>
          <t>14.5.1</t>
        </is>
      </c>
      <c r="B373" s="9" t="inlineStr">
        <is>
          <t xml:space="preserve">    Pools, placement groups and CRUSH</t>
        </is>
      </c>
      <c r="C373" s="10">
        <f>HYPERLINK("https://www.ibm.com/docs/en/storage-ceph/9.9.1?topic=configuration-pools-placement-groups-crush","https://www.ibm.com/docs/en/storage-ceph/9.9.1?topic=configuration-pools-placement-groups-crush")</f>
        <v/>
      </c>
    </row>
    <row r="374" ht="18" customHeight="1">
      <c r="A374" s="8" t="inlineStr">
        <is>
          <t>14.5.2</t>
        </is>
      </c>
      <c r="B374" s="9" t="inlineStr">
        <is>
          <t xml:space="preserve">    Pools, placement groups, and CRUSH configuration options</t>
        </is>
      </c>
      <c r="C374" s="10">
        <f>HYPERLINK("https://www.ibm.com/docs/en/storage-ceph/9.9.1?topic=configuration-pools-placement-groups-crush-options","https://www.ibm.com/docs/en/storage-ceph/9.9.1?topic=configuration-pools-placement-groups-crush-options")</f>
        <v/>
      </c>
    </row>
    <row r="375" ht="18" customHeight="1">
      <c r="A375" s="5" t="inlineStr">
        <is>
          <t>14.6</t>
        </is>
      </c>
      <c r="B375" s="6" t="inlineStr">
        <is>
          <t xml:space="preserve">  Ceph Object Storage Daemon (OSD) configuration</t>
        </is>
      </c>
      <c r="C375" s="7">
        <f>HYPERLINK("https://www.ibm.com/docs/en/storage-ceph/9.9.1?topic=configuring-ceph-object-storage-daemon-osd-configuration","https://www.ibm.com/docs/en/storage-ceph/9.9.1?topic=configuring-ceph-object-storage-daemon-osd-configuration")</f>
        <v/>
      </c>
    </row>
    <row r="376" ht="18" customHeight="1">
      <c r="A376" s="8" t="inlineStr">
        <is>
          <t>14.6.1</t>
        </is>
      </c>
      <c r="B376" s="9" t="inlineStr">
        <is>
          <t xml:space="preserve">    Ceph OSD configuration</t>
        </is>
      </c>
      <c r="C376" s="10">
        <f>HYPERLINK("https://www.ibm.com/docs/en/storage-ceph/9.9.1?topic=configuration-ceph-osd","https://www.ibm.com/docs/en/storage-ceph/9.9.1?topic=configuration-ceph-osd")</f>
        <v/>
      </c>
    </row>
    <row r="377" ht="18" customHeight="1">
      <c r="A377" s="8" t="inlineStr">
        <is>
          <t>14.6.2</t>
        </is>
      </c>
      <c r="B377" s="9" t="inlineStr">
        <is>
          <t xml:space="preserve">    Scrubbing the OSD</t>
        </is>
      </c>
      <c r="C377" s="10">
        <f>HYPERLINK("https://www.ibm.com/docs/en/storage-ceph/9.9.1?topic=configuration-scrubbing-osd","https://www.ibm.com/docs/en/storage-ceph/9.9.1?topic=configuration-scrubbing-osd")</f>
        <v/>
      </c>
    </row>
    <row r="378" ht="18" customHeight="1">
      <c r="A378" s="8" t="inlineStr">
        <is>
          <t>14.6.3</t>
        </is>
      </c>
      <c r="B378" s="9" t="inlineStr">
        <is>
          <t xml:space="preserve">    Backfilling an OSD</t>
        </is>
      </c>
      <c r="C378" s="10">
        <f>HYPERLINK("https://www.ibm.com/docs/en/storage-ceph/9.9.1?topic=configuration-backfilling-osd","https://www.ibm.com/docs/en/storage-ceph/9.9.1?topic=configuration-backfilling-osd")</f>
        <v/>
      </c>
    </row>
    <row r="379" ht="18" customHeight="1">
      <c r="A379" s="8" t="inlineStr">
        <is>
          <t>14.6.4</t>
        </is>
      </c>
      <c r="B379" s="9" t="inlineStr">
        <is>
          <t xml:space="preserve">    OSD recovery</t>
        </is>
      </c>
      <c r="C379" s="10">
        <f>HYPERLINK("https://www.ibm.com/docs/en/storage-ceph/9.9.1?topic=configuration-osd-recovery","https://www.ibm.com/docs/en/storage-ceph/9.9.1?topic=configuration-osd-recovery")</f>
        <v/>
      </c>
    </row>
    <row r="380" ht="18" customHeight="1">
      <c r="A380" s="8" t="inlineStr">
        <is>
          <t>14.6.5</t>
        </is>
      </c>
      <c r="B380" s="9" t="inlineStr">
        <is>
          <t xml:space="preserve">    Object Storage Daemon (OSD) configuration options</t>
        </is>
      </c>
      <c r="C380" s="10">
        <f>HYPERLINK("https://www.ibm.com/docs/en/storage-ceph/9.9.1?topic=configuration-object-storage-daemon-osd-options","https://www.ibm.com/docs/en/storage-ceph/9.9.1?topic=configuration-object-storage-daemon-osd-options")</f>
        <v/>
      </c>
    </row>
    <row r="381" ht="18" customHeight="1">
      <c r="A381" s="5" t="inlineStr">
        <is>
          <t>14.7</t>
        </is>
      </c>
      <c r="B381" s="6" t="inlineStr">
        <is>
          <t xml:space="preserve">  Ceph Monitor and OSD interaction configuration</t>
        </is>
      </c>
      <c r="C381" s="7">
        <f>HYPERLINK("https://www.ibm.com/docs/en/storage-ceph/9.9.1?topic=configuring-ceph-monitor-osd-interaction-configuration","https://www.ibm.com/docs/en/storage-ceph/9.9.1?topic=configuring-ceph-monitor-osd-interaction-configuration")</f>
        <v/>
      </c>
    </row>
    <row r="382" ht="18" customHeight="1">
      <c r="A382" s="8" t="inlineStr">
        <is>
          <t>14.7.1</t>
        </is>
      </c>
      <c r="B382" s="9" t="inlineStr">
        <is>
          <t xml:space="preserve">    Ceph Monitor and OSD interaction</t>
        </is>
      </c>
      <c r="C382" s="10">
        <f>HYPERLINK("https://www.ibm.com/docs/en/storage-ceph/9.9.1?topic=configuration-ceph-monitor-osd-interaction","https://www.ibm.com/docs/en/storage-ceph/9.9.1?topic=configuration-ceph-monitor-osd-interaction")</f>
        <v/>
      </c>
    </row>
    <row r="383" ht="18" customHeight="1">
      <c r="A383" s="8" t="inlineStr">
        <is>
          <t>14.7.2</t>
        </is>
      </c>
      <c r="B383" s="9" t="inlineStr">
        <is>
          <t xml:space="preserve">    OSD heartbeat</t>
        </is>
      </c>
      <c r="C383" s="10">
        <f>HYPERLINK("https://www.ibm.com/docs/en/storage-ceph/9.9.1?topic=configuration-osd-heartbeat","https://www.ibm.com/docs/en/storage-ceph/9.9.1?topic=configuration-osd-heartbeat")</f>
        <v/>
      </c>
    </row>
    <row r="384" ht="18" customHeight="1">
      <c r="A384" s="8" t="inlineStr">
        <is>
          <t>14.7.3</t>
        </is>
      </c>
      <c r="B384" s="9" t="inlineStr">
        <is>
          <t xml:space="preserve">    Reporting an OSD as down</t>
        </is>
      </c>
      <c r="C384" s="10">
        <f>HYPERLINK("https://www.ibm.com/docs/en/storage-ceph/9.9.1?topic=configuration-reporting-osd-as-down","https://www.ibm.com/docs/en/storage-ceph/9.9.1?topic=configuration-reporting-osd-as-down")</f>
        <v/>
      </c>
    </row>
    <row r="385" ht="18" customHeight="1">
      <c r="A385" s="8" t="inlineStr">
        <is>
          <t>14.7.4</t>
        </is>
      </c>
      <c r="B385" s="9" t="inlineStr">
        <is>
          <t xml:space="preserve">    Reporting a peering failure</t>
        </is>
      </c>
      <c r="C385" s="10">
        <f>HYPERLINK("https://www.ibm.com/docs/en/storage-ceph/9.9.1?topic=configuration-reporting-peering-failure","https://www.ibm.com/docs/en/storage-ceph/9.9.1?topic=configuration-reporting-peering-failure")</f>
        <v/>
      </c>
    </row>
    <row r="386" ht="18" customHeight="1">
      <c r="A386" s="8" t="inlineStr">
        <is>
          <t>14.7.5</t>
        </is>
      </c>
      <c r="B386" s="9" t="inlineStr">
        <is>
          <t xml:space="preserve">    OSD reporting status</t>
        </is>
      </c>
      <c r="C386" s="10">
        <f>HYPERLINK("https://www.ibm.com/docs/en/storage-ceph/9.9.1?topic=configuration-osd-reporting-status","https://www.ibm.com/docs/en/storage-ceph/9.9.1?topic=configuration-osd-reporting-status")</f>
        <v/>
      </c>
    </row>
    <row r="387" ht="18" customHeight="1">
      <c r="A387" s="8" t="inlineStr">
        <is>
          <t>14.7.6</t>
        </is>
      </c>
      <c r="B387" s="9" t="inlineStr">
        <is>
          <t xml:space="preserve">    Ceph Monitor and OSD configuration options</t>
        </is>
      </c>
      <c r="C387" s="10">
        <f>HYPERLINK("https://www.ibm.com/docs/en/storage-ceph/9.9.1?topic=configuration-ceph-monitor-osd-options","https://www.ibm.com/docs/en/storage-ceph/9.9.1?topic=configuration-ceph-monitor-osd-options")</f>
        <v/>
      </c>
    </row>
    <row r="388" ht="18" customHeight="1">
      <c r="A388" s="5" t="inlineStr">
        <is>
          <t>14.8</t>
        </is>
      </c>
      <c r="B388" s="6" t="inlineStr">
        <is>
          <t xml:space="preserve">  Debugging and logging configuration</t>
        </is>
      </c>
      <c r="C388" s="7">
        <f>HYPERLINK("https://www.ibm.com/docs/en/storage-ceph/9.9.1?topic=configuring-debugging-logging-configuration","https://www.ibm.com/docs/en/storage-ceph/9.9.1?topic=configuring-debugging-logging-configuration")</f>
        <v/>
      </c>
    </row>
    <row r="389" ht="18" customHeight="1">
      <c r="A389" s="8" t="inlineStr">
        <is>
          <t>14.8.1</t>
        </is>
      </c>
      <c r="B389" s="9" t="inlineStr">
        <is>
          <t xml:space="preserve">    Debugging and logging configuration options</t>
        </is>
      </c>
      <c r="C389" s="10">
        <f>HYPERLINK("https://www.ibm.com/docs/en/storage-ceph/9.9.1?topic=configuration-debugging-logging-options","https://www.ibm.com/docs/en/storage-ceph/9.9.1?topic=configuration-debugging-logging-options")</f>
        <v/>
      </c>
    </row>
    <row r="390" ht="18" customHeight="1">
      <c r="A390" s="5" t="inlineStr">
        <is>
          <t>14.9</t>
        </is>
      </c>
      <c r="B390" s="6" t="inlineStr">
        <is>
          <t xml:space="preserve">  Configuring Call Home using the command-line interface</t>
        </is>
      </c>
      <c r="C390" s="7">
        <f>HYPERLINK("https://www.ibm.com/docs/en/storage-ceph/9.9.1?topic=configuring-call-home-using-command-line-interface","https://www.ibm.com/docs/en/storage-ceph/9.9.1?topic=configuring-call-home-using-command-line-interface")</f>
        <v/>
      </c>
    </row>
    <row r="391" ht="18" customHeight="1">
      <c r="A391" s="8" t="inlineStr">
        <is>
          <t>14.9.1</t>
        </is>
      </c>
      <c r="B391" s="9" t="inlineStr">
        <is>
          <t xml:space="preserve">    Enabling service events</t>
        </is>
      </c>
      <c r="C391" s="10">
        <f>HYPERLINK("https://www.ibm.com/docs/en/storage-ceph/9.9.1?topic=interface-enabling-service-events","https://www.ibm.com/docs/en/storage-ceph/9.9.1?topic=interface-enabling-service-events")</f>
        <v/>
      </c>
    </row>
    <row r="392" ht="18" customHeight="1">
      <c r="A392" s="8" t="inlineStr">
        <is>
          <t>14.9.2</t>
        </is>
      </c>
      <c r="B392" s="9" t="inlineStr">
        <is>
          <t xml:space="preserve">    Enabling IBM Storage Insights support</t>
        </is>
      </c>
      <c r="C392" s="10">
        <f>HYPERLINK("https://www.ibm.com/docs/en/storage-ceph/9.9.1?topic=interface-enabling-storage-insights-support","https://www.ibm.com/docs/en/storage-ceph/9.9.1?topic=interface-enabling-storage-insights-support")</f>
        <v/>
      </c>
    </row>
    <row r="393" ht="18" customHeight="1">
      <c r="A393" s="8" t="inlineStr">
        <is>
          <t>14.9.3</t>
        </is>
      </c>
      <c r="B393" s="9" t="inlineStr">
        <is>
          <t xml:space="preserve">    Disabling Call Home</t>
        </is>
      </c>
      <c r="C393" s="10">
        <f>HYPERLINK("https://www.ibm.com/docs/en/storage-ceph/9.9.1?topic=interface-disabling-call-home","https://www.ibm.com/docs/en/storage-ceph/9.9.1?topic=interface-disabling-call-home")</f>
        <v/>
      </c>
    </row>
    <row r="394" ht="18" customHeight="1">
      <c r="A394" s="8" t="inlineStr">
        <is>
          <t>14.9.4</t>
        </is>
      </c>
      <c r="B394" s="9" t="inlineStr">
        <is>
          <t xml:space="preserve">    Enabling Call Home</t>
        </is>
      </c>
      <c r="C394" s="10">
        <f>HYPERLINK("https://www.ibm.com/docs/en/storage-ceph/9.9.1?topic=interface-enabling-call-home","https://www.ibm.com/docs/en/storage-ceph/9.9.1?topic=interface-enabling-call-home")</f>
        <v/>
      </c>
    </row>
    <row r="395" ht="18" customHeight="1">
      <c r="A395" s="8" t="inlineStr">
        <is>
          <t>14.9.5</t>
        </is>
      </c>
      <c r="B395" s="9" t="inlineStr">
        <is>
          <t xml:space="preserve">    Using Call Home</t>
        </is>
      </c>
      <c r="C395" s="10">
        <f>HYPERLINK("https://www.ibm.com/docs/en/storage-ceph/9.9.1?topic=interface-using-call-home","https://www.ibm.com/docs/en/storage-ceph/9.9.1?topic=interface-using-call-home")</f>
        <v/>
      </c>
    </row>
    <row r="396" ht="18" customHeight="1">
      <c r="A396" s="8" t="inlineStr">
        <is>
          <t>14.9.6</t>
        </is>
      </c>
      <c r="B396" s="9" t="inlineStr">
        <is>
          <t xml:space="preserve">    Modifying the Call Home agent configuration</t>
        </is>
      </c>
      <c r="C396" s="10">
        <f>HYPERLINK("https://www.ibm.com/docs/en/storage-ceph/9.9.1?topic=interface-modifying-call-home-agent-configuration","https://www.ibm.com/docs/en/storage-ceph/9.9.1?topic=interface-modifying-call-home-agent-configuration")</f>
        <v/>
      </c>
    </row>
    <row r="397" ht="18" customHeight="1">
      <c r="A397" s="8" t="inlineStr">
        <is>
          <t>14.9.7</t>
        </is>
      </c>
      <c r="B397" s="9" t="inlineStr">
        <is>
          <t xml:space="preserve">    Configuration options to store customer data</t>
        </is>
      </c>
      <c r="C397" s="10">
        <f>HYPERLINK("https://www.ibm.com/docs/en/storage-ceph/9.9.1?topic=interface-configuration-options-store-customer-data","https://www.ibm.com/docs/en/storage-ceph/9.9.1?topic=interface-configuration-options-store-customer-data")</f>
        <v/>
      </c>
    </row>
    <row r="398" ht="18" customHeight="1">
      <c r="A398" s="5" t="inlineStr">
        <is>
          <t>14.10</t>
        </is>
      </c>
      <c r="B398" s="6" t="inlineStr">
        <is>
          <t xml:space="preserve">  Scrubbing options</t>
        </is>
      </c>
      <c r="C398" s="7">
        <f>HYPERLINK("https://www.ibm.com/docs/en/storage-ceph/9.9.1?topic=configuring-scrubbing-options","https://www.ibm.com/docs/en/storage-ceph/9.9.1?topic=configuring-scrubbing-options")</f>
        <v/>
      </c>
    </row>
    <row r="399" ht="18" customHeight="1">
      <c r="A399" s="5" t="inlineStr">
        <is>
          <t>14.11</t>
        </is>
      </c>
      <c r="B399" s="6" t="inlineStr">
        <is>
          <t xml:space="preserve">  BlueStore configuration options</t>
        </is>
      </c>
      <c r="C399" s="7">
        <f>HYPERLINK("https://www.ibm.com/docs/en/storage-ceph/9.9.1?topic=configuring-bluestore-configuration-options","https://www.ibm.com/docs/en/storage-ceph/9.9.1?topic=configuring-bluestore-configuration-options")</f>
        <v/>
      </c>
    </row>
    <row r="400" ht="18" customHeight="1">
      <c r="A400" s="2" t="inlineStr">
        <is>
          <t>15</t>
        </is>
      </c>
      <c r="B400" s="3" t="inlineStr">
        <is>
          <t>Edge clusters</t>
        </is>
      </c>
      <c r="C400" s="4">
        <f>HYPERLINK("https://www.ibm.com/docs/en/storage-ceph/9.9.1?topic=edge-clusters","https://www.ibm.com/docs/en/storage-ceph/9.9.1?topic=edge-clusters")</f>
        <v/>
      </c>
    </row>
    <row r="401" ht="18" customHeight="1">
      <c r="A401" s="5" t="inlineStr">
        <is>
          <t>15.1</t>
        </is>
      </c>
      <c r="B401" s="6" t="inlineStr">
        <is>
          <t xml:space="preserve">  Pools overview</t>
        </is>
      </c>
      <c r="C401" s="7">
        <f>HYPERLINK("https://www.ibm.com/docs/en/storage-ceph/9.9.1?topic=clusters-pools-overview","https://www.ibm.com/docs/en/storage-ceph/9.9.1?topic=clusters-pools-overview")</f>
        <v/>
      </c>
    </row>
    <row r="402" ht="18" customHeight="1">
      <c r="A402" s="5" t="inlineStr">
        <is>
          <t>15.2</t>
        </is>
      </c>
      <c r="B402" s="6" t="inlineStr">
        <is>
          <t xml:space="preserve">  Resilient and non-resilient data pools</t>
        </is>
      </c>
      <c r="C402" s="7">
        <f>HYPERLINK("https://www.ibm.com/docs/en/storage-ceph/9.9.1?topic=clusters-resilient-non-resilient-data-pools","https://www.ibm.com/docs/en/storage-ceph/9.9.1?topic=clusters-resilient-non-resilient-data-pools")</f>
        <v/>
      </c>
    </row>
    <row r="403" ht="18" customHeight="1">
      <c r="A403" s="5" t="inlineStr">
        <is>
          <t>15.3</t>
        </is>
      </c>
      <c r="B403" s="6" t="inlineStr">
        <is>
          <t xml:space="preserve">  Erasure-coding</t>
        </is>
      </c>
      <c r="C403" s="7">
        <f>HYPERLINK("https://www.ibm.com/docs/en/storage-ceph/9.9.1?topic=clusters-erasure-coding","https://www.ibm.com/docs/en/storage-ceph/9.9.1?topic=clusters-erasure-coding")</f>
        <v/>
      </c>
    </row>
    <row r="404" ht="18" customHeight="1">
      <c r="A404" s="5" t="inlineStr">
        <is>
          <t>15.4</t>
        </is>
      </c>
      <c r="B404" s="6" t="inlineStr">
        <is>
          <t xml:space="preserve">  Erasure code pools overview</t>
        </is>
      </c>
      <c r="C404" s="7">
        <f>HYPERLINK("https://www.ibm.com/docs/en/storage-ceph/9.9.1?topic=clusters-erasure-code-pools-overview","https://www.ibm.com/docs/en/storage-ceph/9.9.1?topic=clusters-erasure-code-pools-overview")</f>
        <v/>
      </c>
    </row>
    <row r="405" ht="18" customHeight="1">
      <c r="A405" s="8" t="inlineStr">
        <is>
          <t>15.4.1</t>
        </is>
      </c>
      <c r="B405" s="9" t="inlineStr">
        <is>
          <t xml:space="preserve">    Creating a sample erasure-coded pool</t>
        </is>
      </c>
      <c r="C405" s="10">
        <f>HYPERLINK("https://www.ibm.com/docs/en/storage-ceph/9.9.1?topic=ecpo-creating-sample-erasure-coded-pool","https://www.ibm.com/docs/en/storage-ceph/9.9.1?topic=ecpo-creating-sample-erasure-coded-pool")</f>
        <v/>
      </c>
    </row>
    <row r="406" ht="18" customHeight="1">
      <c r="A406" s="5" t="inlineStr">
        <is>
          <t>15.5</t>
        </is>
      </c>
      <c r="B406" s="6" t="inlineStr">
        <is>
          <t xml:space="preserve">  Bluestore server-side compression</t>
        </is>
      </c>
      <c r="C406" s="7">
        <f>HYPERLINK("https://www.ibm.com/docs/en/storage-ceph/9.9.1?topic=clusters-bluestore-server-side-compression","https://www.ibm.com/docs/en/storage-ceph/9.9.1?topic=clusters-bluestore-server-side-compression")</f>
        <v/>
      </c>
    </row>
    <row r="407" ht="18" customHeight="1">
      <c r="A407" s="8" t="inlineStr">
        <is>
          <t>15.5.1</t>
        </is>
      </c>
      <c r="B407" s="9" t="inlineStr">
        <is>
          <t xml:space="preserve">    Configuring BlueStore compression for a specific pool</t>
        </is>
      </c>
      <c r="C407" s="10">
        <f>HYPERLINK("https://www.ibm.com/docs/en/storage-ceph/9.9.1?topic=compression-configuring-bluestore-specific-pool","https://www.ibm.com/docs/en/storage-ceph/9.9.1?topic=compression-configuring-bluestore-specific-pool")</f>
        <v/>
      </c>
    </row>
    <row r="408" ht="18" customHeight="1">
      <c r="A408" s="5" t="inlineStr">
        <is>
          <t>15.6</t>
        </is>
      </c>
      <c r="B408" s="6" t="inlineStr">
        <is>
          <t xml:space="preserve">  Cluster topology and colocation</t>
        </is>
      </c>
      <c r="C408" s="7">
        <f>HYPERLINK("https://www.ibm.com/docs/en/storage-ceph/9.9.1?topic=clusters-cluster-topology-colocation","https://www.ibm.com/docs/en/storage-ceph/9.9.1?topic=clusters-cluster-topology-colocation")</f>
        <v/>
      </c>
    </row>
    <row r="409" ht="18" customHeight="1">
      <c r="A409" s="2" t="inlineStr">
        <is>
          <t>16</t>
        </is>
      </c>
      <c r="B409" s="3" t="inlineStr">
        <is>
          <t>Administering</t>
        </is>
      </c>
      <c r="C409" s="4">
        <f>HYPERLINK("https://www.ibm.com/docs/en/storage-ceph/9.9.1?topic=administering","https://www.ibm.com/docs/en/storage-ceph/9.9.1?topic=administering")</f>
        <v/>
      </c>
    </row>
    <row r="410" ht="18" customHeight="1">
      <c r="A410" s="5" t="inlineStr">
        <is>
          <t>16.1</t>
        </is>
      </c>
      <c r="B410" s="6" t="inlineStr">
        <is>
          <t xml:space="preserve">  Administration</t>
        </is>
      </c>
      <c r="C410" s="7">
        <f>HYPERLINK("https://www.ibm.com/docs/en/storage-ceph/9.9.1?topic=administering-administration","https://www.ibm.com/docs/en/storage-ceph/9.9.1?topic=administering-administration")</f>
        <v/>
      </c>
    </row>
    <row r="411" ht="18" customHeight="1">
      <c r="A411" s="8" t="inlineStr">
        <is>
          <t>16.1.1</t>
        </is>
      </c>
      <c r="B411" s="9" t="inlineStr">
        <is>
          <t xml:space="preserve">    Understanding process management</t>
        </is>
      </c>
      <c r="C411" s="10">
        <f>HYPERLINK("https://www.ibm.com/docs/en/storage-ceph/9.9.1?topic=administration-understanding-process-management","https://www.ibm.com/docs/en/storage-ceph/9.9.1?topic=administration-understanding-process-management")</f>
        <v/>
      </c>
    </row>
    <row r="412" ht="18" customHeight="1">
      <c r="A412" s="8" t="inlineStr">
        <is>
          <t>16.1.1.1</t>
        </is>
      </c>
      <c r="B412" s="9" t="inlineStr">
        <is>
          <t xml:space="preserve">      Process management</t>
        </is>
      </c>
      <c r="C412" s="10">
        <f>HYPERLINK("https://www.ibm.com/docs/en/storage-ceph/9.9.1?topic=management-process","https://www.ibm.com/docs/en/storage-ceph/9.9.1?topic=management-process")</f>
        <v/>
      </c>
    </row>
    <row r="413" ht="18" customHeight="1">
      <c r="A413" s="8" t="inlineStr">
        <is>
          <t>16.1.1.2</t>
        </is>
      </c>
      <c r="B413" s="9" t="inlineStr">
        <is>
          <t xml:space="preserve">      Starting, stopping, and restarting all Ceph services</t>
        </is>
      </c>
      <c r="C413" s="10">
        <f>HYPERLINK("https://www.ibm.com/docs/en/storage-ceph/9.9.1?topic=management-starting-stopping-restarting-all-ceph-services","https://www.ibm.com/docs/en/storage-ceph/9.9.1?topic=management-starting-stopping-restarting-all-ceph-services")</f>
        <v/>
      </c>
    </row>
    <row r="414" ht="18" customHeight="1">
      <c r="A414" s="8" t="inlineStr">
        <is>
          <t>16.1.1.3</t>
        </is>
      </c>
      <c r="B414" s="9" t="inlineStr">
        <is>
          <t xml:space="preserve">      Viewing log files of Ceph daemons</t>
        </is>
      </c>
      <c r="C414" s="10">
        <f>HYPERLINK("https://www.ibm.com/docs/en/storage-ceph/9.9.1?topic=management-viewing-log-files-ceph-daemons","https://www.ibm.com/docs/en/storage-ceph/9.9.1?topic=management-viewing-log-files-ceph-daemons")</f>
        <v/>
      </c>
    </row>
    <row r="415" ht="18" customHeight="1">
      <c r="A415" s="8" t="inlineStr">
        <is>
          <t>16.1.1.4</t>
        </is>
      </c>
      <c r="B415" s="9" t="inlineStr">
        <is>
          <t xml:space="preserve">      Powering down and rebooting the cluster</t>
        </is>
      </c>
      <c r="C415" s="10">
        <f>HYPERLINK("https://www.ibm.com/docs/en/storage-ceph/9.9.1?topic=management-powering-down-rebooting-cluster","https://www.ibm.com/docs/en/storage-ceph/9.9.1?topic=management-powering-down-rebooting-cluster")</f>
        <v/>
      </c>
    </row>
    <row r="416" ht="18" customHeight="1">
      <c r="A416" s="8" t="inlineStr">
        <is>
          <t>16.1.1.4.1</t>
        </is>
      </c>
      <c r="B416" s="9" t="inlineStr">
        <is>
          <t xml:space="preserve">        Powering down and rebooting with Ceph Orchestrator</t>
        </is>
      </c>
      <c r="C416" s="10">
        <f>HYPERLINK("https://www.ibm.com/docs/en/storage-ceph/9.9.1?topic=cluster-powering-down-rebooting-ceph-orchestrator","https://www.ibm.com/docs/en/storage-ceph/9.9.1?topic=cluster-powering-down-rebooting-ceph-orchestrator")</f>
        <v/>
      </c>
    </row>
    <row r="417" ht="18" customHeight="1">
      <c r="A417" s="8" t="inlineStr">
        <is>
          <t>16.1.1.4.2</t>
        </is>
      </c>
      <c r="B417" s="9" t="inlineStr">
        <is>
          <t xml:space="preserve">        Powering down and rebooting by using systemctl commands</t>
        </is>
      </c>
      <c r="C417" s="10">
        <f>HYPERLINK("https://www.ibm.com/docs/en/storage-ceph/9.9.1?topic=cluster-powering-down-rebooting-by-using-systemctl-commands","https://www.ibm.com/docs/en/storage-ceph/9.9.1?topic=cluster-powering-down-rebooting-by-using-systemctl-commands")</f>
        <v/>
      </c>
    </row>
    <row r="418" ht="18" customHeight="1">
      <c r="A418" s="8" t="inlineStr">
        <is>
          <t>16.1.1.4.3</t>
        </is>
      </c>
      <c r="B418" s="9" t="inlineStr">
        <is>
          <t xml:space="preserve">        Powering down and rebooting by using cephadm cluster commands</t>
        </is>
      </c>
      <c r="C418" s="10">
        <f>HYPERLINK("https://www.ibm.com/docs/en/storage-ceph/9.9.1?topic=pdrc-powering-down-rebooting-by-using-cephadm-cluster-commands","https://www.ibm.com/docs/en/storage-ceph/9.9.1?topic=pdrc-powering-down-rebooting-by-using-cephadm-cluster-commands")</f>
        <v/>
      </c>
    </row>
    <row r="419" ht="18" customHeight="1">
      <c r="A419" s="8" t="inlineStr">
        <is>
          <t>16.1.2</t>
        </is>
      </c>
      <c r="B419" s="9" t="inlineStr">
        <is>
          <t xml:space="preserve">    Monitor IBM Storage Ceph clusters</t>
        </is>
      </c>
      <c r="C419" s="10">
        <f>HYPERLINK("https://www.ibm.com/docs/en/storage-ceph/9.9.1?topic=administration-monitor-storage-ceph-clusters","https://www.ibm.com/docs/en/storage-ceph/9.9.1?topic=administration-monitor-storage-ceph-clusters")</f>
        <v/>
      </c>
    </row>
    <row r="420" ht="18" customHeight="1">
      <c r="A420" s="8" t="inlineStr">
        <is>
          <t>16.1.2.1</t>
        </is>
      </c>
      <c r="B420" s="9" t="inlineStr">
        <is>
          <t xml:space="preserve">      Checking Ceph version information</t>
        </is>
      </c>
      <c r="C420" s="10">
        <f>HYPERLINK("https://www.ibm.com/docs/en/storage-ceph/9.9.1?topic=clusters-checking-ceph-version-information","https://www.ibm.com/docs/en/storage-ceph/9.9.1?topic=clusters-checking-ceph-version-information")</f>
        <v/>
      </c>
    </row>
    <row r="421" ht="18" customHeight="1">
      <c r="A421" s="8" t="inlineStr">
        <is>
          <t>16.1.2.2</t>
        </is>
      </c>
      <c r="B421" s="9" t="inlineStr">
        <is>
          <t xml:space="preserve">      Monitor a Ceph cluster with the CLI</t>
        </is>
      </c>
      <c r="C421" s="10">
        <f>HYPERLINK("https://www.ibm.com/docs/en/storage-ceph/9.9.1?topic=clusters-monitor-ceph-cluster-cli","https://www.ibm.com/docs/en/storage-ceph/9.9.1?topic=clusters-monitor-ceph-cluster-cli")</f>
        <v/>
      </c>
    </row>
    <row r="422" ht="18" customHeight="1">
      <c r="A422" s="8" t="inlineStr">
        <is>
          <t>16.1.2.2.1</t>
        </is>
      </c>
      <c r="B422" s="9" t="inlineStr">
        <is>
          <t xml:space="preserve">        High-level monitoring</t>
        </is>
      </c>
      <c r="C422" s="10">
        <f>HYPERLINK("https://www.ibm.com/docs/en/storage-ceph/9.9.1?topic=cli-high-level-monitoring","https://www.ibm.com/docs/en/storage-ceph/9.9.1?topic=cli-high-level-monitoring")</f>
        <v/>
      </c>
    </row>
    <row r="423" ht="18" customHeight="1">
      <c r="A423" s="8" t="inlineStr">
        <is>
          <t>16.1.2.2.1.1</t>
        </is>
      </c>
      <c r="B423" s="9" t="inlineStr">
        <is>
          <t xml:space="preserve">          Checking storage cluster health</t>
        </is>
      </c>
      <c r="C423" s="10">
        <f>HYPERLINK("https://www.ibm.com/docs/en/storage-ceph/9.9.1?topic=monitoring-checking-storage-cluster-health","https://www.ibm.com/docs/en/storage-ceph/9.9.1?topic=monitoring-checking-storage-cluster-health")</f>
        <v/>
      </c>
    </row>
    <row r="424" ht="18" customHeight="1">
      <c r="A424" s="8" t="inlineStr">
        <is>
          <t>16.1.2.2.1.2</t>
        </is>
      </c>
      <c r="B424" s="9" t="inlineStr">
        <is>
          <t xml:space="preserve">          Watching storage cluster events</t>
        </is>
      </c>
      <c r="C424" s="10">
        <f>HYPERLINK("https://www.ibm.com/docs/en/storage-ceph/9.9.1?topic=monitoring-watching-storage-cluster-events","https://www.ibm.com/docs/en/storage-ceph/9.9.1?topic=monitoring-watching-storage-cluster-events")</f>
        <v/>
      </c>
    </row>
    <row r="425" ht="18" customHeight="1">
      <c r="A425" s="8" t="inlineStr">
        <is>
          <t>16.1.2.2.1.3</t>
        </is>
      </c>
      <c r="B425" s="9" t="inlineStr">
        <is>
          <t xml:space="preserve">          How Ceph calculates data usage</t>
        </is>
      </c>
      <c r="C425" s="10">
        <f>HYPERLINK("https://www.ibm.com/docs/en/storage-ceph/9.9.1?topic=monitoring-how-ceph-calculates-data-usage","https://www.ibm.com/docs/en/storage-ceph/9.9.1?topic=monitoring-how-ceph-calculates-data-usage")</f>
        <v/>
      </c>
    </row>
    <row r="426" ht="18" customHeight="1">
      <c r="A426" s="8" t="inlineStr">
        <is>
          <t>16.1.2.2.1.4</t>
        </is>
      </c>
      <c r="B426" s="9" t="inlineStr">
        <is>
          <t xml:space="preserve">          Understanding storage clusters usage stats</t>
        </is>
      </c>
      <c r="C426" s="10">
        <f>HYPERLINK("https://www.ibm.com/docs/en/storage-ceph/9.9.1?topic=monitoring-understanding-storage-clusters-usage-stats","https://www.ibm.com/docs/en/storage-ceph/9.9.1?topic=monitoring-understanding-storage-clusters-usage-stats")</f>
        <v/>
      </c>
    </row>
    <row r="427" ht="18" customHeight="1">
      <c r="A427" s="8" t="inlineStr">
        <is>
          <t>16.1.2.2.1.5</t>
        </is>
      </c>
      <c r="B427" s="9" t="inlineStr">
        <is>
          <t xml:space="preserve">          Checking Ceph Monitor status</t>
        </is>
      </c>
      <c r="C427" s="10">
        <f>HYPERLINK("https://www.ibm.com/docs/en/storage-ceph/9.9.1?topic=monitoring-checking-ceph-monitor-status","https://www.ibm.com/docs/en/storage-ceph/9.9.1?topic=monitoring-checking-ceph-monitor-status")</f>
        <v/>
      </c>
    </row>
    <row r="428" ht="18" customHeight="1">
      <c r="A428" s="8" t="inlineStr">
        <is>
          <t>16.1.2.2.1.6</t>
        </is>
      </c>
      <c r="B428" s="9" t="inlineStr">
        <is>
          <t xml:space="preserve">          Understanding OSD usage stats</t>
        </is>
      </c>
      <c r="C428" s="10">
        <f>HYPERLINK("https://www.ibm.com/docs/en/storage-ceph/9.9.1?topic=monitoring-understanding-osd-usage-stats","https://www.ibm.com/docs/en/storage-ceph/9.9.1?topic=monitoring-understanding-osd-usage-stats")</f>
        <v/>
      </c>
    </row>
    <row r="429" ht="18" customHeight="1">
      <c r="A429" s="8" t="inlineStr">
        <is>
          <t>16.1.2.2.1.7</t>
        </is>
      </c>
      <c r="B429" s="9" t="inlineStr">
        <is>
          <t xml:space="preserve">          Understanding Ceph OSD status</t>
        </is>
      </c>
      <c r="C429" s="10">
        <f>HYPERLINK("https://www.ibm.com/docs/en/storage-ceph/9.9.1?topic=monitoring-understanding-ceph-osd-status","https://www.ibm.com/docs/en/storage-ceph/9.9.1?topic=monitoring-understanding-ceph-osd-status")</f>
        <v/>
      </c>
    </row>
    <row r="430" ht="18" customHeight="1">
      <c r="A430" s="8" t="inlineStr">
        <is>
          <t>16.1.2.2.1.8</t>
        </is>
      </c>
      <c r="B430" s="9" t="inlineStr">
        <is>
          <t xml:space="preserve">          Checking Ceph Monitor status</t>
        </is>
      </c>
      <c r="C430" s="10">
        <f>HYPERLINK("https://www.ibm.com/docs/en/storage-ceph/9.9.1?topic=hlm-checking-ceph-monitor-status","https://www.ibm.com/docs/en/storage-ceph/9.9.1?topic=hlm-checking-ceph-monitor-status")</f>
        <v/>
      </c>
    </row>
    <row r="431" ht="18" customHeight="1">
      <c r="A431" s="8" t="inlineStr">
        <is>
          <t>16.1.2.2.1.9</t>
        </is>
      </c>
      <c r="B431" s="9" t="inlineStr">
        <is>
          <t xml:space="preserve">          Using Ceph administration socket</t>
        </is>
      </c>
      <c r="C431" s="10">
        <f>HYPERLINK("https://www.ibm.com/docs/en/storage-ceph/9.9.1?topic=monitoring-using-ceph-administration-socket","https://www.ibm.com/docs/en/storage-ceph/9.9.1?topic=monitoring-using-ceph-administration-socket")</f>
        <v/>
      </c>
    </row>
    <row r="432" ht="18" customHeight="1">
      <c r="A432" s="8" t="inlineStr">
        <is>
          <t>16.1.2.2.1.10</t>
        </is>
      </c>
      <c r="B432" s="9" t="inlineStr">
        <is>
          <t xml:space="preserve">          Track the data availability score of a cluster (Technology Preview)</t>
        </is>
      </c>
      <c r="C432" s="10">
        <f>HYPERLINK("https://www.ibm.com/docs/en/storage-ceph/9.9.1?topic=monitoring-track-data-availability-score-cluster-technology-preview","https://www.ibm.com/docs/en/storage-ceph/9.9.1?topic=monitoring-track-data-availability-score-cluster-technology-preview")</f>
        <v/>
      </c>
    </row>
    <row r="433" ht="18" customHeight="1">
      <c r="A433" s="8" t="inlineStr">
        <is>
          <t>16.1.2.2.2</t>
        </is>
      </c>
      <c r="B433" s="9" t="inlineStr">
        <is>
          <t xml:space="preserve">        Low-level monitoring</t>
        </is>
      </c>
      <c r="C433" s="10">
        <f>HYPERLINK("https://www.ibm.com/docs/en/storage-ceph/9.9.1?topic=cli-low-level-monitoring","https://www.ibm.com/docs/en/storage-ceph/9.9.1?topic=cli-low-level-monitoring")</f>
        <v/>
      </c>
    </row>
    <row r="434" ht="18" customHeight="1">
      <c r="A434" s="8" t="inlineStr">
        <is>
          <t>16.1.2.2.2.1</t>
        </is>
      </c>
      <c r="B434" s="9" t="inlineStr">
        <is>
          <t xml:space="preserve">          Monitoring placement group sets</t>
        </is>
      </c>
      <c r="C434" s="10">
        <f>HYPERLINK("https://www.ibm.com/docs/en/storage-ceph/9.9.1?topic=monitoring-placement-group-sets","https://www.ibm.com/docs/en/storage-ceph/9.9.1?topic=monitoring-placement-group-sets")</f>
        <v/>
      </c>
    </row>
    <row r="435" ht="18" customHeight="1">
      <c r="A435" s="8" t="inlineStr">
        <is>
          <t>16.1.2.2.2.2</t>
        </is>
      </c>
      <c r="B435" s="9" t="inlineStr">
        <is>
          <t xml:space="preserve">          Ceph OSD peering</t>
        </is>
      </c>
      <c r="C435" s="10">
        <f>HYPERLINK("https://www.ibm.com/docs/en/storage-ceph/9.9.1?topic=monitoring-ceph-osd-peering","https://www.ibm.com/docs/en/storage-ceph/9.9.1?topic=monitoring-ceph-osd-peering")</f>
        <v/>
      </c>
    </row>
    <row r="436" ht="18" customHeight="1">
      <c r="A436" s="8" t="inlineStr">
        <is>
          <t>16.1.2.2.2.3</t>
        </is>
      </c>
      <c r="B436" s="9" t="inlineStr">
        <is>
          <t xml:space="preserve">          Placement group states</t>
        </is>
      </c>
      <c r="C436" s="10">
        <f>HYPERLINK("https://www.ibm.com/docs/en/storage-ceph/9.9.1?topic=monitoring-placement-group-states","https://www.ibm.com/docs/en/storage-ceph/9.9.1?topic=monitoring-placement-group-states")</f>
        <v/>
      </c>
    </row>
    <row r="437" ht="18" customHeight="1">
      <c r="A437" s="8" t="inlineStr">
        <is>
          <t>16.1.2.2.2.4</t>
        </is>
      </c>
      <c r="B437" s="9" t="inlineStr">
        <is>
          <t xml:space="preserve">          Placement group creating state</t>
        </is>
      </c>
      <c r="C437" s="10">
        <f>HYPERLINK("https://www.ibm.com/docs/en/storage-ceph/9.9.1?topic=monitoring-placement-group-creating-state","https://www.ibm.com/docs/en/storage-ceph/9.9.1?topic=monitoring-placement-group-creating-state")</f>
        <v/>
      </c>
    </row>
    <row r="438" ht="18" customHeight="1">
      <c r="A438" s="8" t="inlineStr">
        <is>
          <t>16.1.2.2.2.5</t>
        </is>
      </c>
      <c r="B438" s="9" t="inlineStr">
        <is>
          <t xml:space="preserve">          Placement group peering state</t>
        </is>
      </c>
      <c r="C438" s="10">
        <f>HYPERLINK("https://www.ibm.com/docs/en/storage-ceph/9.9.1?topic=monitoring-placement-group-peering-state","https://www.ibm.com/docs/en/storage-ceph/9.9.1?topic=monitoring-placement-group-peering-state")</f>
        <v/>
      </c>
    </row>
    <row r="439" ht="18" customHeight="1">
      <c r="A439" s="8" t="inlineStr">
        <is>
          <t>16.1.2.2.2.6</t>
        </is>
      </c>
      <c r="B439" s="9" t="inlineStr">
        <is>
          <t xml:space="preserve">          Placement group active state</t>
        </is>
      </c>
      <c r="C439" s="10">
        <f>HYPERLINK("https://www.ibm.com/docs/en/storage-ceph/9.9.1?topic=monitoring-placement-group-active-state","https://www.ibm.com/docs/en/storage-ceph/9.9.1?topic=monitoring-placement-group-active-state")</f>
        <v/>
      </c>
    </row>
    <row r="440" ht="18" customHeight="1">
      <c r="A440" s="8" t="inlineStr">
        <is>
          <t>16.1.2.2.2.7</t>
        </is>
      </c>
      <c r="B440" s="9" t="inlineStr">
        <is>
          <t xml:space="preserve">          Placement group clean state</t>
        </is>
      </c>
      <c r="C440" s="10">
        <f>HYPERLINK("https://www.ibm.com/docs/en/storage-ceph/9.9.1?topic=monitoring-placement-group-clean-state","https://www.ibm.com/docs/en/storage-ceph/9.9.1?topic=monitoring-placement-group-clean-state")</f>
        <v/>
      </c>
    </row>
    <row r="441" ht="18" customHeight="1">
      <c r="A441" s="8" t="inlineStr">
        <is>
          <t>16.1.2.2.2.8</t>
        </is>
      </c>
      <c r="B441" s="9" t="inlineStr">
        <is>
          <t xml:space="preserve">          Placement group degraded state</t>
        </is>
      </c>
      <c r="C441" s="10">
        <f>HYPERLINK("https://www.ibm.com/docs/en/storage-ceph/9.9.1?topic=monitoring-placement-group-degraded-state","https://www.ibm.com/docs/en/storage-ceph/9.9.1?topic=monitoring-placement-group-degraded-state")</f>
        <v/>
      </c>
    </row>
    <row r="442" ht="18" customHeight="1">
      <c r="A442" s="8" t="inlineStr">
        <is>
          <t>16.1.2.2.2.9</t>
        </is>
      </c>
      <c r="B442" s="9" t="inlineStr">
        <is>
          <t xml:space="preserve">          Placement Group recovering state</t>
        </is>
      </c>
      <c r="C442" s="10">
        <f>HYPERLINK("https://www.ibm.com/docs/en/storage-ceph/9.9.1?topic=monitoring-placement-group-recovering-state","https://www.ibm.com/docs/en/storage-ceph/9.9.1?topic=monitoring-placement-group-recovering-state")</f>
        <v/>
      </c>
    </row>
    <row r="443" ht="18" customHeight="1">
      <c r="A443" s="8" t="inlineStr">
        <is>
          <t>16.1.2.2.2.10</t>
        </is>
      </c>
      <c r="B443" s="9" t="inlineStr">
        <is>
          <t xml:space="preserve">          Back fill state</t>
        </is>
      </c>
      <c r="C443" s="10">
        <f>HYPERLINK("https://www.ibm.com/docs/en/storage-ceph/9.9.1?topic=monitoring-back-fill-state","https://www.ibm.com/docs/en/storage-ceph/9.9.1?topic=monitoring-back-fill-state")</f>
        <v/>
      </c>
    </row>
    <row r="444" ht="18" customHeight="1">
      <c r="A444" s="8" t="inlineStr">
        <is>
          <t>16.1.2.2.2.11</t>
        </is>
      </c>
      <c r="B444" s="9" t="inlineStr">
        <is>
          <t xml:space="preserve">          Placement group remapped state</t>
        </is>
      </c>
      <c r="C444" s="10">
        <f>HYPERLINK("https://www.ibm.com/docs/en/storage-ceph/9.9.1?topic=monitoring-placement-group-remapped-state","https://www.ibm.com/docs/en/storage-ceph/9.9.1?topic=monitoring-placement-group-remapped-state")</f>
        <v/>
      </c>
    </row>
    <row r="445" ht="18" customHeight="1">
      <c r="A445" s="8" t="inlineStr">
        <is>
          <t>16.1.2.2.2.12</t>
        </is>
      </c>
      <c r="B445" s="9" t="inlineStr">
        <is>
          <t xml:space="preserve">          Placement group stale state</t>
        </is>
      </c>
      <c r="C445" s="10">
        <f>HYPERLINK("https://www.ibm.com/docs/en/storage-ceph/9.9.1?topic=monitoring-placement-group-stale-state","https://www.ibm.com/docs/en/storage-ceph/9.9.1?topic=monitoring-placement-group-stale-state")</f>
        <v/>
      </c>
    </row>
    <row r="446" ht="18" customHeight="1">
      <c r="A446" s="8" t="inlineStr">
        <is>
          <t>16.1.2.2.2.13</t>
        </is>
      </c>
      <c r="B446" s="9" t="inlineStr">
        <is>
          <t xml:space="preserve">          Placement group misplaced state</t>
        </is>
      </c>
      <c r="C446" s="10">
        <f>HYPERLINK("https://www.ibm.com/docs/en/storage-ceph/9.9.1?topic=monitoring-placement-group-misplaced-state","https://www.ibm.com/docs/en/storage-ceph/9.9.1?topic=monitoring-placement-group-misplaced-state")</f>
        <v/>
      </c>
    </row>
    <row r="447" ht="18" customHeight="1">
      <c r="A447" s="8" t="inlineStr">
        <is>
          <t>16.1.2.2.2.14</t>
        </is>
      </c>
      <c r="B447" s="9" t="inlineStr">
        <is>
          <t xml:space="preserve">          Placement group incomplete state</t>
        </is>
      </c>
      <c r="C447" s="10">
        <f>HYPERLINK("https://www.ibm.com/docs/en/storage-ceph/9.9.1?topic=monitoring-placement-group-incomplete-state","https://www.ibm.com/docs/en/storage-ceph/9.9.1?topic=monitoring-placement-group-incomplete-state")</f>
        <v/>
      </c>
    </row>
    <row r="448" ht="18" customHeight="1">
      <c r="A448" s="8" t="inlineStr">
        <is>
          <t>16.1.2.2.2.15</t>
        </is>
      </c>
      <c r="B448" s="9" t="inlineStr">
        <is>
          <t xml:space="preserve">          Identifying stuck placement groups</t>
        </is>
      </c>
      <c r="C448" s="10">
        <f>HYPERLINK("https://www.ibm.com/docs/en/storage-ceph/9.9.1?topic=monitoring-identifying-stuck-placement-groups","https://www.ibm.com/docs/en/storage-ceph/9.9.1?topic=monitoring-identifying-stuck-placement-groups")</f>
        <v/>
      </c>
    </row>
    <row r="449" ht="18" customHeight="1">
      <c r="A449" s="8" t="inlineStr">
        <is>
          <t>16.1.2.2.2.16</t>
        </is>
      </c>
      <c r="B449" s="9" t="inlineStr">
        <is>
          <t xml:space="preserve">          Finding object’s location</t>
        </is>
      </c>
      <c r="C449" s="10">
        <f>HYPERLINK("https://www.ibm.com/docs/en/storage-ceph/9.9.1?topic=monitoring-finding-objects-location","https://www.ibm.com/docs/en/storage-ceph/9.9.1?topic=monitoring-finding-objects-location")</f>
        <v/>
      </c>
    </row>
    <row r="450" ht="18" customHeight="1">
      <c r="A450" s="8" t="inlineStr">
        <is>
          <t>16.1.2.3</t>
        </is>
      </c>
      <c r="B450" s="9" t="inlineStr">
        <is>
          <t xml:space="preserve">      Monitor a Ceph cluster with the Dashboard</t>
        </is>
      </c>
      <c r="C450" s="10">
        <f>HYPERLINK("https://www.ibm.com/docs/en/storage-ceph/9.9.1?topic=clusters-monitor-ceph-cluster-dashboard","https://www.ibm.com/docs/en/storage-ceph/9.9.1?topic=clusters-monitor-ceph-cluster-dashboard")</f>
        <v/>
      </c>
    </row>
    <row r="451" ht="18" customHeight="1">
      <c r="A451" s="8" t="inlineStr">
        <is>
          <t>16.1.2.3.1</t>
        </is>
      </c>
      <c r="B451" s="9" t="inlineStr">
        <is>
          <t xml:space="preserve">        Monitor a Ceph cluster with the Dashboard</t>
        </is>
      </c>
      <c r="C451" s="10">
        <f>HYPERLINK("https://www.ibm.com/docs/en/storage-ceph/9.9.1?topic=dashboard-monitor-ceph-cluster","https://www.ibm.com/docs/en/storage-ceph/9.9.1?topic=dashboard-monitor-ceph-cluster")</f>
        <v/>
      </c>
    </row>
    <row r="452" ht="18" customHeight="1">
      <c r="A452" s="8" t="inlineStr">
        <is>
          <t>16.1.2.3.2</t>
        </is>
      </c>
      <c r="B452" s="9" t="inlineStr">
        <is>
          <t xml:space="preserve">        Monitoring hosts of the Ceph cluster</t>
        </is>
      </c>
      <c r="C452" s="10">
        <f>HYPERLINK("https://www.ibm.com/docs/en/storage-ceph/9.9.1?topic=dashboard-monitoring-hosts-ceph-cluster","https://www.ibm.com/docs/en/storage-ceph/9.9.1?topic=dashboard-monitoring-hosts-ceph-cluster")</f>
        <v/>
      </c>
    </row>
    <row r="453" ht="18" customHeight="1">
      <c r="A453" s="8" t="inlineStr">
        <is>
          <t>16.1.2.3.3</t>
        </is>
      </c>
      <c r="B453" s="9" t="inlineStr">
        <is>
          <t xml:space="preserve">        Viewing and editing the configuration of the Ceph cluster</t>
        </is>
      </c>
      <c r="C453" s="10">
        <f>HYPERLINK("https://www.ibm.com/docs/en/storage-ceph/9.9.1?topic=dashboard-viewing-editing-configuration-ceph-cluster","https://www.ibm.com/docs/en/storage-ceph/9.9.1?topic=dashboard-viewing-editing-configuration-ceph-cluster")</f>
        <v/>
      </c>
    </row>
    <row r="454" ht="18" customHeight="1">
      <c r="A454" s="8" t="inlineStr">
        <is>
          <t>16.1.2.3.4</t>
        </is>
      </c>
      <c r="B454" s="9" t="inlineStr">
        <is>
          <t xml:space="preserve">        Viewing and editing the manager modules of the Ceph cluster</t>
        </is>
      </c>
      <c r="C454" s="10">
        <f>HYPERLINK("https://www.ibm.com/docs/en/storage-ceph/9.9.1?topic=dashboard-viewing-editing-manager-modules-ceph-cluster","https://www.ibm.com/docs/en/storage-ceph/9.9.1?topic=dashboard-viewing-editing-manager-modules-ceph-cluster")</f>
        <v/>
      </c>
    </row>
    <row r="455" ht="18" customHeight="1">
      <c r="A455" s="8" t="inlineStr">
        <is>
          <t>16.1.2.3.5</t>
        </is>
      </c>
      <c r="B455" s="9" t="inlineStr">
        <is>
          <t xml:space="preserve">        Monitoring monitors of the Ceph cluster</t>
        </is>
      </c>
      <c r="C455" s="10">
        <f>HYPERLINK("https://www.ibm.com/docs/en/storage-ceph/9.9.1?topic=dashboard-monitoring-monitors-ceph-cluster","https://www.ibm.com/docs/en/storage-ceph/9.9.1?topic=dashboard-monitoring-monitors-ceph-cluster")</f>
        <v/>
      </c>
    </row>
    <row r="456" ht="18" customHeight="1">
      <c r="A456" s="8" t="inlineStr">
        <is>
          <t>16.1.2.3.6</t>
        </is>
      </c>
      <c r="B456" s="9" t="inlineStr">
        <is>
          <t xml:space="preserve">        Monitoring services of the Ceph cluster</t>
        </is>
      </c>
      <c r="C456" s="10">
        <f>HYPERLINK("https://www.ibm.com/docs/en/storage-ceph/9.9.1?topic=dashboard-monitoring-services-ceph-cluster","https://www.ibm.com/docs/en/storage-ceph/9.9.1?topic=dashboard-monitoring-services-ceph-cluster")</f>
        <v/>
      </c>
    </row>
    <row r="457" ht="18" customHeight="1">
      <c r="A457" s="8" t="inlineStr">
        <is>
          <t>16.1.2.3.7</t>
        </is>
      </c>
      <c r="B457" s="9" t="inlineStr">
        <is>
          <t xml:space="preserve">        Monitoring Ceph OSDs</t>
        </is>
      </c>
      <c r="C457" s="10">
        <f>HYPERLINK("https://www.ibm.com/docs/en/storage-ceph/9.9.1?topic=dashboard-monitoring-ceph-osds","https://www.ibm.com/docs/en/storage-ceph/9.9.1?topic=dashboard-monitoring-ceph-osds")</f>
        <v/>
      </c>
    </row>
    <row r="458" ht="18" customHeight="1">
      <c r="A458" s="8" t="inlineStr">
        <is>
          <t>16.1.2.3.8</t>
        </is>
      </c>
      <c r="B458" s="9" t="inlineStr">
        <is>
          <t xml:space="preserve">        Monitoring HAProxy</t>
        </is>
      </c>
      <c r="C458" s="10">
        <f>HYPERLINK("https://www.ibm.com/docs/en/storage-ceph/9.9.1?topic=dashboard-monitoring-haproxy","https://www.ibm.com/docs/en/storage-ceph/9.9.1?topic=dashboard-monitoring-haproxy")</f>
        <v/>
      </c>
    </row>
    <row r="459" ht="18" customHeight="1">
      <c r="A459" s="8" t="inlineStr">
        <is>
          <t>16.1.2.3.9</t>
        </is>
      </c>
      <c r="B459" s="9" t="inlineStr">
        <is>
          <t xml:space="preserve">        Viewing the CRUSH map of the Ceph cluster</t>
        </is>
      </c>
      <c r="C459" s="10">
        <f>HYPERLINK("https://www.ibm.com/docs/en/storage-ceph/9.9.1?topic=dashboard-viewing-crush-map-ceph-cluster","https://www.ibm.com/docs/en/storage-ceph/9.9.1?topic=dashboard-viewing-crush-map-ceph-cluster")</f>
        <v/>
      </c>
    </row>
    <row r="460" ht="18" customHeight="1">
      <c r="A460" s="8" t="inlineStr">
        <is>
          <t>16.1.2.3.10</t>
        </is>
      </c>
      <c r="B460" s="9" t="inlineStr">
        <is>
          <t xml:space="preserve">        Filtering logs of the Ceph cluster</t>
        </is>
      </c>
      <c r="C460" s="10">
        <f>HYPERLINK("https://www.ibm.com/docs/en/storage-ceph/9.9.1?topic=dashboard-filtering-logs-ceph-cluster","https://www.ibm.com/docs/en/storage-ceph/9.9.1?topic=dashboard-filtering-logs-ceph-cluster")</f>
        <v/>
      </c>
    </row>
    <row r="461" ht="18" customHeight="1">
      <c r="A461" s="8" t="inlineStr">
        <is>
          <t>16.1.2.3.11</t>
        </is>
      </c>
      <c r="B461" s="9" t="inlineStr">
        <is>
          <t xml:space="preserve">        Viewing centralized logs of the Ceph cluster</t>
        </is>
      </c>
      <c r="C461" s="10">
        <f>HYPERLINK("https://www.ibm.com/docs/en/storage-ceph/9.9.1?topic=dashboard-viewing-centralized-logs-ceph-cluster","https://www.ibm.com/docs/en/storage-ceph/9.9.1?topic=dashboard-viewing-centralized-logs-ceph-cluster")</f>
        <v/>
      </c>
    </row>
    <row r="462" ht="18" customHeight="1">
      <c r="A462" s="8" t="inlineStr">
        <is>
          <t>16.1.2.3.12</t>
        </is>
      </c>
      <c r="B462" s="9" t="inlineStr">
        <is>
          <t xml:space="preserve">        Viewing and managing dashboard data</t>
        </is>
      </c>
      <c r="C462" s="10">
        <f>HYPERLINK("https://www.ibm.com/docs/en/storage-ceph/9.9.1?topic=dashboard-viewing-managing-data","https://www.ibm.com/docs/en/storage-ceph/9.9.1?topic=dashboard-viewing-managing-data")</f>
        <v/>
      </c>
    </row>
    <row r="463" ht="18" customHeight="1">
      <c r="A463" s="8" t="inlineStr">
        <is>
          <t>16.1.2.3.13</t>
        </is>
      </c>
      <c r="B463" s="9" t="inlineStr">
        <is>
          <t xml:space="preserve">        Monitoring pools of the Ceph cluster</t>
        </is>
      </c>
      <c r="C463" s="10">
        <f>HYPERLINK("https://www.ibm.com/docs/en/storage-ceph/9.9.1?topic=dashboard-monitoring-pools-ceph-cluster","https://www.ibm.com/docs/en/storage-ceph/9.9.1?topic=dashboard-monitoring-pools-ceph-cluster")</f>
        <v/>
      </c>
    </row>
    <row r="464" ht="18" customHeight="1">
      <c r="A464" s="8" t="inlineStr">
        <is>
          <t>16.1.2.3.14</t>
        </is>
      </c>
      <c r="B464" s="9" t="inlineStr">
        <is>
          <t xml:space="preserve">        Monitoring Ceph File Systems</t>
        </is>
      </c>
      <c r="C464" s="10">
        <f>HYPERLINK("https://www.ibm.com/docs/en/storage-ceph/9.9.1?topic=dashboard-monitoring-ceph-file-systems","https://www.ibm.com/docs/en/storage-ceph/9.9.1?topic=dashboard-monitoring-ceph-file-systems")</f>
        <v/>
      </c>
    </row>
    <row r="465" ht="18" customHeight="1">
      <c r="A465" s="8" t="inlineStr">
        <is>
          <t>16.1.2.3.15</t>
        </is>
      </c>
      <c r="B465" s="9" t="inlineStr">
        <is>
          <t xml:space="preserve">        Monitoring Ceph Object Gateway daemons</t>
        </is>
      </c>
      <c r="C465" s="10">
        <f>HYPERLINK("https://www.ibm.com/docs/en/storage-ceph/9.9.1?topic=dashboard-monitoring-ceph-object-gateway-daemons","https://www.ibm.com/docs/en/storage-ceph/9.9.1?topic=dashboard-monitoring-ceph-object-gateway-daemons")</f>
        <v/>
      </c>
    </row>
    <row r="466" ht="18" customHeight="1">
      <c r="A466" s="8" t="inlineStr">
        <is>
          <t>16.1.2.3.16</t>
        </is>
      </c>
      <c r="B466" s="9" t="inlineStr">
        <is>
          <t xml:space="preserve">        Monitoring block device images</t>
        </is>
      </c>
      <c r="C466" s="10">
        <f>HYPERLINK("https://www.ibm.com/docs/en/storage-ceph/9.9.1?topic=dashboard-monitoring-block-device-images","https://www.ibm.com/docs/en/storage-ceph/9.9.1?topic=dashboard-monitoring-block-device-images")</f>
        <v/>
      </c>
    </row>
    <row r="467" ht="18" customHeight="1">
      <c r="A467" s="8" t="inlineStr">
        <is>
          <t>16.1.3</t>
        </is>
      </c>
      <c r="B467" s="9" t="inlineStr">
        <is>
          <t xml:space="preserve">    Stretch clusters for Ceph storage</t>
        </is>
      </c>
      <c r="C467" s="10">
        <f>HYPERLINK("https://www.ibm.com/docs/en/storage-ceph/9.9.1?topic=administration-stretch-clusters-ceph-storage","https://www.ibm.com/docs/en/storage-ceph/9.9.1?topic=administration-stretch-clusters-ceph-storage")</f>
        <v/>
      </c>
    </row>
    <row r="468" ht="18" customHeight="1">
      <c r="A468" s="8" t="inlineStr">
        <is>
          <t>16.1.3.1</t>
        </is>
      </c>
      <c r="B468" s="9" t="inlineStr">
        <is>
          <t xml:space="preserve">      Stretch mode</t>
        </is>
      </c>
      <c r="C468" s="10">
        <f>HYPERLINK("https://www.ibm.com/docs/en/storage-ceph/9.9.1?topic=storage-stretch-mode","https://www.ibm.com/docs/en/storage-ceph/9.9.1?topic=storage-stretch-mode")</f>
        <v/>
      </c>
    </row>
    <row r="469" ht="18" customHeight="1">
      <c r="A469" s="8" t="inlineStr">
        <is>
          <t>16.1.3.2</t>
        </is>
      </c>
      <c r="B469" s="9" t="inlineStr">
        <is>
          <t xml:space="preserve">      Deployment requirements</t>
        </is>
      </c>
      <c r="C469" s="10">
        <f>HYPERLINK("https://www.ibm.com/docs/en/storage-ceph/9.9.1?topic=storage-deployment-requirements","https://www.ibm.com/docs/en/storage-ceph/9.9.1?topic=storage-deployment-requirements")</f>
        <v/>
      </c>
    </row>
    <row r="470" ht="18" customHeight="1">
      <c r="A470" s="8" t="inlineStr">
        <is>
          <t>16.1.3.3</t>
        </is>
      </c>
      <c r="B470" s="9" t="inlineStr">
        <is>
          <t xml:space="preserve">      Configuring a cluster for stretch mode</t>
        </is>
      </c>
      <c r="C470" s="10">
        <f>HYPERLINK("https://www.ibm.com/docs/en/storage-ceph/9.9.1?topic=storage-configuring-cluster-stretch-mode","https://www.ibm.com/docs/en/storage-ceph/9.9.1?topic=storage-configuring-cluster-stretch-mode")</f>
        <v/>
      </c>
    </row>
    <row r="471" ht="18" customHeight="1">
      <c r="A471" s="8" t="inlineStr">
        <is>
          <t>16.1.3.3.1</t>
        </is>
      </c>
      <c r="B471" s="9" t="inlineStr">
        <is>
          <t xml:space="preserve">        Setting CRUSH location for daemons</t>
        </is>
      </c>
      <c r="C471" s="10">
        <f>HYPERLINK("https://www.ibm.com/docs/en/storage-ceph/9.9.1?topic=mode-setting-crush-location-daemons","https://www.ibm.com/docs/en/storage-ceph/9.9.1?topic=mode-setting-crush-location-daemons")</f>
        <v/>
      </c>
    </row>
    <row r="472" ht="18" customHeight="1">
      <c r="A472" s="8" t="inlineStr">
        <is>
          <t>16.1.3.3.1.1</t>
        </is>
      </c>
      <c r="B472" s="9" t="inlineStr">
        <is>
          <t xml:space="preserve">          Setting the CRUSH location during bootstrap</t>
        </is>
      </c>
      <c r="C472" s="10">
        <f>HYPERLINK("https://www.ibm.com/docs/en/storage-ceph/9.9.1?topic=daemons-setting-crush-location-during-bootstrap","https://www.ibm.com/docs/en/storage-ceph/9.9.1?topic=daemons-setting-crush-location-during-bootstrap")</f>
        <v/>
      </c>
    </row>
    <row r="473" ht="18" customHeight="1">
      <c r="A473" s="8" t="inlineStr">
        <is>
          <t>16.1.3.3.1.2</t>
        </is>
      </c>
      <c r="B473" s="9" t="inlineStr">
        <is>
          <t xml:space="preserve">          Manually setting the CRUSH location for daemons</t>
        </is>
      </c>
      <c r="C473" s="10">
        <f>HYPERLINK("https://www.ibm.com/docs/en/storage-ceph/9.9.1?topic=daemons-manually-setting-crush-location","https://www.ibm.com/docs/en/storage-ceph/9.9.1?topic=daemons-manually-setting-crush-location")</f>
        <v/>
      </c>
    </row>
    <row r="474" ht="18" customHeight="1">
      <c r="A474" s="8" t="inlineStr">
        <is>
          <t>16.1.3.3.2</t>
        </is>
      </c>
      <c r="B474" s="9" t="inlineStr">
        <is>
          <t xml:space="preserve">        Configuring a CRUSH map for stretch mode</t>
        </is>
      </c>
      <c r="C474" s="10">
        <f>HYPERLINK("https://www.ibm.com/docs/en/storage-ceph/9.9.1?topic=mode-configuring-crush-map-stretch","https://www.ibm.com/docs/en/storage-ceph/9.9.1?topic=mode-configuring-crush-map-stretch")</f>
        <v/>
      </c>
    </row>
    <row r="475" ht="18" customHeight="1">
      <c r="A475" s="8" t="inlineStr">
        <is>
          <t>16.1.3.3.2.1</t>
        </is>
      </c>
      <c r="B475" s="9" t="inlineStr">
        <is>
          <t xml:space="preserve">          Changing stretch mode</t>
        </is>
      </c>
      <c r="C475" s="10">
        <f>HYPERLINK("https://www.ibm.com/docs/en/storage-ceph/9.9.1?topic=mode-changing-stretch","https://www.ibm.com/docs/en/storage-ceph/9.9.1?topic=mode-changing-stretch")</f>
        <v/>
      </c>
    </row>
    <row r="476" ht="18" customHeight="1">
      <c r="A476" s="8" t="inlineStr">
        <is>
          <t>16.1.3.3.2.2</t>
        </is>
      </c>
      <c r="B476" s="9" t="inlineStr">
        <is>
          <t xml:space="preserve">          Verifying stretch mode</t>
        </is>
      </c>
      <c r="C476" s="10">
        <f>HYPERLINK("https://www.ibm.com/docs/en/storage-ceph/9.9.1?topic=mode-verifying-stretch","https://www.ibm.com/docs/en/storage-ceph/9.9.1?topic=mode-verifying-stretch")</f>
        <v/>
      </c>
    </row>
    <row r="477" ht="18" customHeight="1">
      <c r="A477" s="8" t="inlineStr">
        <is>
          <t>16.1.3.4</t>
        </is>
      </c>
      <c r="B477" s="9" t="inlineStr">
        <is>
          <t xml:space="preserve">      Using and maintaining stretch mode</t>
        </is>
      </c>
      <c r="C477" s="10">
        <f>HYPERLINK("https://www.ibm.com/docs/en/storage-ceph/9.9.1?topic=storage-using-maintaining-stretch-mode","https://www.ibm.com/docs/en/storage-ceph/9.9.1?topic=storage-using-maintaining-stretch-mode")</f>
        <v/>
      </c>
    </row>
    <row r="478" ht="18" customHeight="1">
      <c r="A478" s="8" t="inlineStr">
        <is>
          <t>16.1.3.4.1</t>
        </is>
      </c>
      <c r="B478" s="9" t="inlineStr">
        <is>
          <t xml:space="preserve">        Adding OSD hosts in stretch mode</t>
        </is>
      </c>
      <c r="C478" s="10">
        <f>HYPERLINK("https://www.ibm.com/docs/en/storage-ceph/9.9.1?topic=mode-adding-osd-hosts-in-stretch","https://www.ibm.com/docs/en/storage-ceph/9.9.1?topic=mode-adding-osd-hosts-in-stretch")</f>
        <v/>
      </c>
    </row>
    <row r="479" ht="18" customHeight="1">
      <c r="A479" s="8" t="inlineStr">
        <is>
          <t>16.1.3.4.2</t>
        </is>
      </c>
      <c r="B479" s="9" t="inlineStr">
        <is>
          <t xml:space="preserve">        Managing data center monitor service hosts in stretch mode</t>
        </is>
      </c>
      <c r="C479" s="10">
        <f>HYPERLINK("https://www.ibm.com/docs/en/storage-ceph/9.9.1?topic=umsm-managing-data-center-monitor-service-hosts-in-stretch-mode","https://www.ibm.com/docs/en/storage-ceph/9.9.1?topic=umsm-managing-data-center-monitor-service-hosts-in-stretch-mode")</f>
        <v/>
      </c>
    </row>
    <row r="480" ht="18" customHeight="1">
      <c r="A480" s="8" t="inlineStr">
        <is>
          <t>16.1.3.4.3</t>
        </is>
      </c>
      <c r="B480" s="9" t="inlineStr">
        <is>
          <t xml:space="preserve">        Replacing a tiebreaker with a monitor in quorum</t>
        </is>
      </c>
      <c r="C480" s="10">
        <f>HYPERLINK("https://www.ibm.com/docs/en/storage-ceph/9.9.1?topic=mode-replacing-tiebreaker-monitor-in-quorum","https://www.ibm.com/docs/en/storage-ceph/9.9.1?topic=mode-replacing-tiebreaker-monitor-in-quorum")</f>
        <v/>
      </c>
    </row>
    <row r="481" ht="18" customHeight="1">
      <c r="A481" s="8" t="inlineStr">
        <is>
          <t>16.1.3.4.4</t>
        </is>
      </c>
      <c r="B481" s="9" t="inlineStr">
        <is>
          <t xml:space="preserve">        Replacing a tiebreaker with a new monitor</t>
        </is>
      </c>
      <c r="C481" s="10">
        <f>HYPERLINK("https://www.ibm.com/docs/en/storage-ceph/9.9.1?topic=mode-replacing-tiebreaker-new-monitor","https://www.ibm.com/docs/en/storage-ceph/9.9.1?topic=mode-replacing-tiebreaker-new-monitor")</f>
        <v/>
      </c>
    </row>
    <row r="482" ht="18" customHeight="1">
      <c r="A482" s="8" t="inlineStr">
        <is>
          <t>16.1.3.5</t>
        </is>
      </c>
      <c r="B482" s="9" t="inlineStr">
        <is>
          <t xml:space="preserve">      Read Affinity in stretch clusters</t>
        </is>
      </c>
      <c r="C482" s="10">
        <f>HYPERLINK("https://www.ibm.com/docs/en/storage-ceph/9.9.1?topic=storage-read-affinity-in-stretch-clusters","https://www.ibm.com/docs/en/storage-ceph/9.9.1?topic=storage-read-affinity-in-stretch-clusters")</f>
        <v/>
      </c>
    </row>
    <row r="483" ht="18" customHeight="1">
      <c r="A483" s="8" t="inlineStr">
        <is>
          <t>16.1.3.5.1</t>
        </is>
      </c>
      <c r="B483" s="9" t="inlineStr">
        <is>
          <t xml:space="preserve">        Performing localized reads</t>
        </is>
      </c>
      <c r="C483" s="10">
        <f>HYPERLINK("https://www.ibm.com/docs/en/storage-ceph/9.9.1?topic=clusters-performing-localized-reads","https://www.ibm.com/docs/en/storage-ceph/9.9.1?topic=clusters-performing-localized-reads")</f>
        <v/>
      </c>
    </row>
    <row r="484" ht="18" customHeight="1">
      <c r="A484" s="8" t="inlineStr">
        <is>
          <t>16.1.3.5.2</t>
        </is>
      </c>
      <c r="B484" s="9" t="inlineStr">
        <is>
          <t xml:space="preserve">        Performing balanced reads</t>
        </is>
      </c>
      <c r="C484" s="10">
        <f>HYPERLINK("https://www.ibm.com/docs/en/storage-ceph/9.9.1?topic=clusters-performing-balanced-reads","https://www.ibm.com/docs/en/storage-ceph/9.9.1?topic=clusters-performing-balanced-reads")</f>
        <v/>
      </c>
    </row>
    <row r="485" ht="18" customHeight="1">
      <c r="A485" s="8" t="inlineStr">
        <is>
          <t>16.1.3.5.3</t>
        </is>
      </c>
      <c r="B485" s="9" t="inlineStr">
        <is>
          <t xml:space="preserve">        Performing default reads</t>
        </is>
      </c>
      <c r="C485" s="10">
        <f>HYPERLINK("https://www.ibm.com/docs/en/storage-ceph/9.9.1?topic=clusters-performing-default-reads","https://www.ibm.com/docs/en/storage-ceph/9.9.1?topic=clusters-performing-default-reads")</f>
        <v/>
      </c>
    </row>
    <row r="486" ht="18" customHeight="1">
      <c r="A486" s="8" t="inlineStr">
        <is>
          <t>16.1.4</t>
        </is>
      </c>
      <c r="B486" s="9" t="inlineStr">
        <is>
          <t xml:space="preserve">    Generalized stretch cluster configuration for three availability zones</t>
        </is>
      </c>
      <c r="C486" s="10">
        <f>HYPERLINK("https://www.ibm.com/docs/en/storage-ceph/9.9.1?topic=administration-generalized-stretch-cluster-configuration-three-availability-zones","https://www.ibm.com/docs/en/storage-ceph/9.9.1?topic=administration-generalized-stretch-cluster-configuration-three-availability-zones")</f>
        <v/>
      </c>
    </row>
    <row r="487" ht="18" customHeight="1">
      <c r="A487" s="8" t="inlineStr">
        <is>
          <t>16.1.4.1</t>
        </is>
      </c>
      <c r="B487" s="9" t="inlineStr">
        <is>
          <t xml:space="preserve">      Generalized stretch cluster deployment requirements</t>
        </is>
      </c>
      <c r="C487" s="10">
        <f>HYPERLINK("https://www.ibm.com/docs/en/storage-ceph/9.9.1?topic=zones-generalized-stretch-cluster-deployment-requirements","https://www.ibm.com/docs/en/storage-ceph/9.9.1?topic=zones-generalized-stretch-cluster-deployment-requirements")</f>
        <v/>
      </c>
    </row>
    <row r="488" ht="18" customHeight="1">
      <c r="A488" s="8" t="inlineStr">
        <is>
          <t>16.1.4.2</t>
        </is>
      </c>
      <c r="B488" s="9" t="inlineStr">
        <is>
          <t xml:space="preserve">      Bootstrapping the Ceph cluster with a specification file</t>
        </is>
      </c>
      <c r="C488" s="10">
        <f>HYPERLINK("https://www.ibm.com/docs/en/storage-ceph/9.9.1?topic=zones-bootstrapping-ceph-cluster-specification-file","https://www.ibm.com/docs/en/storage-ceph/9.9.1?topic=zones-bootstrapping-ceph-cluster-specification-file")</f>
        <v/>
      </c>
    </row>
    <row r="489" ht="18" customHeight="1">
      <c r="A489" s="8" t="inlineStr">
        <is>
          <t>16.1.4.3</t>
        </is>
      </c>
      <c r="B489" s="9" t="inlineStr">
        <is>
          <t xml:space="preserve">      Enabling three availability zones on the pool</t>
        </is>
      </c>
      <c r="C489" s="10">
        <f>HYPERLINK("https://www.ibm.com/docs/en/storage-ceph/9.9.1?topic=zones-enabling-three-availability-pool","https://www.ibm.com/docs/en/storage-ceph/9.9.1?topic=zones-enabling-three-availability-pool")</f>
        <v/>
      </c>
    </row>
    <row r="490" ht="18" customHeight="1">
      <c r="A490" s="8" t="inlineStr">
        <is>
          <t>16.1.4.4</t>
        </is>
      </c>
      <c r="B490" s="9" t="inlineStr">
        <is>
          <t xml:space="preserve">      Adding OSD hosts with three availability zones</t>
        </is>
      </c>
      <c r="C490" s="10">
        <f>HYPERLINK("https://www.ibm.com/docs/en/storage-ceph/9.9.1?topic=zones-adding-osd-hosts-three-availability","https://www.ibm.com/docs/en/storage-ceph/9.9.1?topic=zones-adding-osd-hosts-three-availability")</f>
        <v/>
      </c>
    </row>
    <row r="491" ht="18" customHeight="1">
      <c r="A491" s="8" t="inlineStr">
        <is>
          <t>16.1.5</t>
        </is>
      </c>
      <c r="B491" s="9" t="inlineStr">
        <is>
          <t xml:space="preserve">    Override Ceph behavior</t>
        </is>
      </c>
      <c r="C491" s="10">
        <f>HYPERLINK("https://www.ibm.com/docs/en/storage-ceph/9.9.1?topic=administration-override-ceph-behavior","https://www.ibm.com/docs/en/storage-ceph/9.9.1?topic=administration-override-ceph-behavior")</f>
        <v/>
      </c>
    </row>
    <row r="492" ht="18" customHeight="1">
      <c r="A492" s="8" t="inlineStr">
        <is>
          <t>16.1.5.1</t>
        </is>
      </c>
      <c r="B492" s="9" t="inlineStr">
        <is>
          <t xml:space="preserve">      Setting and unsetting override options</t>
        </is>
      </c>
      <c r="C492" s="10">
        <f>HYPERLINK("https://www.ibm.com/docs/en/storage-ceph/9.9.1?topic=behavior-setting-unsetting-override-options","https://www.ibm.com/docs/en/storage-ceph/9.9.1?topic=behavior-setting-unsetting-override-options")</f>
        <v/>
      </c>
    </row>
    <row r="493" ht="18" customHeight="1">
      <c r="A493" s="8" t="inlineStr">
        <is>
          <t>16.1.5.2</t>
        </is>
      </c>
      <c r="B493" s="9" t="inlineStr">
        <is>
          <t xml:space="preserve">      Override use cases</t>
        </is>
      </c>
      <c r="C493" s="10">
        <f>HYPERLINK("https://www.ibm.com/docs/en/storage-ceph/9.9.1?topic=behavior-override-use-cases","https://www.ibm.com/docs/en/storage-ceph/9.9.1?topic=behavior-override-use-cases")</f>
        <v/>
      </c>
    </row>
    <row r="494" ht="18" customHeight="1">
      <c r="A494" s="8" t="inlineStr">
        <is>
          <t>16.1.6</t>
        </is>
      </c>
      <c r="B494" s="9" t="inlineStr">
        <is>
          <t xml:space="preserve">    Ceph user management</t>
        </is>
      </c>
      <c r="C494" s="10">
        <f>HYPERLINK("https://www.ibm.com/docs/en/storage-ceph/9.9.1?topic=administration-ceph-user-management","https://www.ibm.com/docs/en/storage-ceph/9.9.1?topic=administration-ceph-user-management")</f>
        <v/>
      </c>
    </row>
    <row r="495" ht="18" customHeight="1">
      <c r="A495" s="8" t="inlineStr">
        <is>
          <t>16.1.6.1</t>
        </is>
      </c>
      <c r="B495" s="9" t="inlineStr">
        <is>
          <t xml:space="preserve">      Ceph user management background</t>
        </is>
      </c>
      <c r="C495" s="10">
        <f>HYPERLINK("https://www.ibm.com/docs/en/storage-ceph/9.9.1?topic=management-ceph-user-background","https://www.ibm.com/docs/en/storage-ceph/9.9.1?topic=management-ceph-user-background")</f>
        <v/>
      </c>
    </row>
    <row r="496" ht="18" customHeight="1">
      <c r="A496" s="8" t="inlineStr">
        <is>
          <t>16.1.6.2</t>
        </is>
      </c>
      <c r="B496" s="9" t="inlineStr">
        <is>
          <t xml:space="preserve">      Managing Ceph users</t>
        </is>
      </c>
      <c r="C496" s="10">
        <f>HYPERLINK("https://www.ibm.com/docs/en/storage-ceph/9.9.1?topic=management-managing-ceph-users","https://www.ibm.com/docs/en/storage-ceph/9.9.1?topic=management-managing-ceph-users")</f>
        <v/>
      </c>
    </row>
    <row r="497" ht="18" customHeight="1">
      <c r="A497" s="8" t="inlineStr">
        <is>
          <t>16.1.6.2.1</t>
        </is>
      </c>
      <c r="B497" s="9" t="inlineStr">
        <is>
          <t xml:space="preserve">        Listing Ceph users</t>
        </is>
      </c>
      <c r="C497" s="10">
        <f>HYPERLINK("https://www.ibm.com/docs/en/storage-ceph/9.9.1?topic=users-listing-ceph","https://www.ibm.com/docs/en/storage-ceph/9.9.1?topic=users-listing-ceph")</f>
        <v/>
      </c>
    </row>
    <row r="498" ht="18" customHeight="1">
      <c r="A498" s="8" t="inlineStr">
        <is>
          <t>16.1.6.2.2</t>
        </is>
      </c>
      <c r="B498" s="9" t="inlineStr">
        <is>
          <t xml:space="preserve">        Displaying Ceph user information</t>
        </is>
      </c>
      <c r="C498" s="10">
        <f>HYPERLINK("https://www.ibm.com/docs/en/storage-ceph/9.9.1?topic=users-displaying-ceph-user-information","https://www.ibm.com/docs/en/storage-ceph/9.9.1?topic=users-displaying-ceph-user-information")</f>
        <v/>
      </c>
    </row>
    <row r="499" ht="18" customHeight="1">
      <c r="A499" s="8" t="inlineStr">
        <is>
          <t>16.1.6.2.3</t>
        </is>
      </c>
      <c r="B499" s="9" t="inlineStr">
        <is>
          <t xml:space="preserve">        Adding a Ceph user</t>
        </is>
      </c>
      <c r="C499" s="10">
        <f>HYPERLINK("https://www.ibm.com/docs/en/storage-ceph/9.9.1?topic=users-adding-ceph-user","https://www.ibm.com/docs/en/storage-ceph/9.9.1?topic=users-adding-ceph-user")</f>
        <v/>
      </c>
    </row>
    <row r="500" ht="18" customHeight="1">
      <c r="A500" s="8" t="inlineStr">
        <is>
          <t>16.1.6.2.4</t>
        </is>
      </c>
      <c r="B500" s="9" t="inlineStr">
        <is>
          <t xml:space="preserve">        Modifying Ceph user</t>
        </is>
      </c>
      <c r="C500" s="10">
        <f>HYPERLINK("https://www.ibm.com/docs/en/storage-ceph/9.9.1?topic=users-modifying-ceph-user","https://www.ibm.com/docs/en/storage-ceph/9.9.1?topic=users-modifying-ceph-user")</f>
        <v/>
      </c>
    </row>
    <row r="501" ht="18" customHeight="1">
      <c r="A501" s="8" t="inlineStr">
        <is>
          <t>16.1.6.2.5</t>
        </is>
      </c>
      <c r="B501" s="9" t="inlineStr">
        <is>
          <t xml:space="preserve">        Deleting Ceph user</t>
        </is>
      </c>
      <c r="C501" s="10">
        <f>HYPERLINK("https://www.ibm.com/docs/en/storage-ceph/9.9.1?topic=users-deleting-ceph-user","https://www.ibm.com/docs/en/storage-ceph/9.9.1?topic=users-deleting-ceph-user")</f>
        <v/>
      </c>
    </row>
    <row r="502" ht="18" customHeight="1">
      <c r="A502" s="8" t="inlineStr">
        <is>
          <t>16.1.6.2.6</t>
        </is>
      </c>
      <c r="B502" s="9" t="inlineStr">
        <is>
          <t xml:space="preserve">        Printing Ceph user key</t>
        </is>
      </c>
      <c r="C502" s="10">
        <f>HYPERLINK("https://www.ibm.com/docs/en/storage-ceph/9.9.1?topic=users-printing-ceph-user-key","https://www.ibm.com/docs/en/storage-ceph/9.9.1?topic=users-printing-ceph-user-key")</f>
        <v/>
      </c>
    </row>
    <row r="503" ht="18" customHeight="1">
      <c r="A503" s="8" t="inlineStr">
        <is>
          <t>16.1.7</t>
        </is>
      </c>
      <c r="B503" s="9" t="inlineStr">
        <is>
          <t xml:space="preserve">    Using ceph-volume utility</t>
        </is>
      </c>
      <c r="C503" s="10">
        <f>HYPERLINK("https://www.ibm.com/docs/en/storage-ceph/9.9.1?topic=administration-using-ceph-volume-utility","https://www.ibm.com/docs/en/storage-ceph/9.9.1?topic=administration-using-ceph-volume-utility")</f>
        <v/>
      </c>
    </row>
    <row r="504" ht="18" customHeight="1">
      <c r="A504" s="8" t="inlineStr">
        <is>
          <t>16.1.7.1</t>
        </is>
      </c>
      <c r="B504" s="9" t="inlineStr">
        <is>
          <t xml:space="preserve">      Ceph volume lvm plugin</t>
        </is>
      </c>
      <c r="C504" s="10">
        <f>HYPERLINK("https://www.ibm.com/docs/en/storage-ceph/9.9.1?topic=utility-ceph-volume-lvm-plugin","https://www.ibm.com/docs/en/storage-ceph/9.9.1?topic=utility-ceph-volume-lvm-plugin")</f>
        <v/>
      </c>
    </row>
    <row r="505" ht="18" customHeight="1">
      <c r="A505" s="8" t="inlineStr">
        <is>
          <t>16.1.7.2</t>
        </is>
      </c>
      <c r="B505" s="9" t="inlineStr">
        <is>
          <t xml:space="preserve">      Why does ceph-volume replace ceph-disk?</t>
        </is>
      </c>
      <c r="C505" s="10">
        <f>HYPERLINK("https://www.ibm.com/docs/en/storage-ceph/9.9.1?topic=utility-why-does-ceph-volume-replace-ceph-disk","https://www.ibm.com/docs/en/storage-ceph/9.9.1?topic=utility-why-does-ceph-volume-replace-ceph-disk")</f>
        <v/>
      </c>
    </row>
    <row r="506" ht="18" customHeight="1">
      <c r="A506" s="8" t="inlineStr">
        <is>
          <t>16.1.7.3</t>
        </is>
      </c>
      <c r="B506" s="9" t="inlineStr">
        <is>
          <t xml:space="preserve">      Preparing OSDs</t>
        </is>
      </c>
      <c r="C506" s="10">
        <f>HYPERLINK("https://www.ibm.com/docs/en/storage-ceph/9.9.1?topic=utility-preparing-osds","https://www.ibm.com/docs/en/storage-ceph/9.9.1?topic=utility-preparing-osds")</f>
        <v/>
      </c>
    </row>
    <row r="507" ht="18" customHeight="1">
      <c r="A507" s="8" t="inlineStr">
        <is>
          <t>16.1.7.4</t>
        </is>
      </c>
      <c r="B507" s="9" t="inlineStr">
        <is>
          <t xml:space="preserve">      Listing devices</t>
        </is>
      </c>
      <c r="C507" s="10">
        <f>HYPERLINK("https://www.ibm.com/docs/en/storage-ceph/9.9.1?topic=utility-listing-devices","https://www.ibm.com/docs/en/storage-ceph/9.9.1?topic=utility-listing-devices")</f>
        <v/>
      </c>
    </row>
    <row r="508" ht="18" customHeight="1">
      <c r="A508" s="8" t="inlineStr">
        <is>
          <t>16.1.7.5</t>
        </is>
      </c>
      <c r="B508" s="9" t="inlineStr">
        <is>
          <t xml:space="preserve">      Activating OSDs</t>
        </is>
      </c>
      <c r="C508" s="10">
        <f>HYPERLINK("https://www.ibm.com/docs/en/storage-ceph/9.9.1?topic=utility-activating-osds","https://www.ibm.com/docs/en/storage-ceph/9.9.1?topic=utility-activating-osds")</f>
        <v/>
      </c>
    </row>
    <row r="509" ht="18" customHeight="1">
      <c r="A509" s="8" t="inlineStr">
        <is>
          <t>16.1.7.6</t>
        </is>
      </c>
      <c r="B509" s="9" t="inlineStr">
        <is>
          <t xml:space="preserve">      Deactivating OSDs</t>
        </is>
      </c>
      <c r="C509" s="10">
        <f>HYPERLINK("https://www.ibm.com/docs/en/storage-ceph/9.9.1?topic=utility-deactivating-osds","https://www.ibm.com/docs/en/storage-ceph/9.9.1?topic=utility-deactivating-osds")</f>
        <v/>
      </c>
    </row>
    <row r="510" ht="18" customHeight="1">
      <c r="A510" s="8" t="inlineStr">
        <is>
          <t>16.1.7.7</t>
        </is>
      </c>
      <c r="B510" s="9" t="inlineStr">
        <is>
          <t xml:space="preserve">      Creating Ceph OSDs</t>
        </is>
      </c>
      <c r="C510" s="10">
        <f>HYPERLINK("https://www.ibm.com/docs/en/storage-ceph/9.9.1?topic=utility-creating-ceph-osds","https://www.ibm.com/docs/en/storage-ceph/9.9.1?topic=utility-creating-ceph-osds")</f>
        <v/>
      </c>
    </row>
    <row r="511" ht="18" customHeight="1">
      <c r="A511" s="8" t="inlineStr">
        <is>
          <t>16.1.7.8</t>
        </is>
      </c>
      <c r="B511" s="9" t="inlineStr">
        <is>
          <t xml:space="preserve">      Migrating BlueFS data</t>
        </is>
      </c>
      <c r="C511" s="10">
        <f>HYPERLINK("https://www.ibm.com/docs/en/storage-ceph/9.9.1?topic=utility-migrating-bluefs-data","https://www.ibm.com/docs/en/storage-ceph/9.9.1?topic=utility-migrating-bluefs-data")</f>
        <v/>
      </c>
    </row>
    <row r="512" ht="18" customHeight="1">
      <c r="A512" s="8" t="inlineStr">
        <is>
          <t>16.1.7.9</t>
        </is>
      </c>
      <c r="B512" s="9" t="inlineStr">
        <is>
          <t xml:space="preserve">      Expanding BlueFS DB device</t>
        </is>
      </c>
      <c r="C512" s="10">
        <f>HYPERLINK("https://www.ibm.com/docs/en/storage-ceph/9.9.1?topic=utility-expanding-bluefs-db-device","https://www.ibm.com/docs/en/storage-ceph/9.9.1?topic=utility-expanding-bluefs-db-device")</f>
        <v/>
      </c>
    </row>
    <row r="513" ht="18" customHeight="1">
      <c r="A513" s="8" t="inlineStr">
        <is>
          <t>16.1.7.10</t>
        </is>
      </c>
      <c r="B513" s="9" t="inlineStr">
        <is>
          <t xml:space="preserve">      Using batch mode</t>
        </is>
      </c>
      <c r="C513" s="10">
        <f>HYPERLINK("https://www.ibm.com/docs/en/storage-ceph/9.9.1?topic=utility-using-batch-mode","https://www.ibm.com/docs/en/storage-ceph/9.9.1?topic=utility-using-batch-mode")</f>
        <v/>
      </c>
    </row>
    <row r="514" ht="18" customHeight="1">
      <c r="A514" s="8" t="inlineStr">
        <is>
          <t>16.1.7.11</t>
        </is>
      </c>
      <c r="B514" s="9" t="inlineStr">
        <is>
          <t xml:space="preserve">      Zapping data</t>
        </is>
      </c>
      <c r="C514" s="10">
        <f>HYPERLINK("https://www.ibm.com/docs/en/storage-ceph/9.9.1?topic=utility-zapping-data","https://www.ibm.com/docs/en/storage-ceph/9.9.1?topic=utility-zapping-data")</f>
        <v/>
      </c>
    </row>
    <row r="515" ht="18" customHeight="1">
      <c r="A515" s="8" t="inlineStr">
        <is>
          <t>16.1.8</t>
        </is>
      </c>
      <c r="B515" s="9" t="inlineStr">
        <is>
          <t xml:space="preserve">    Ceph performance benchmark</t>
        </is>
      </c>
      <c r="C515" s="10">
        <f>HYPERLINK("https://www.ibm.com/docs/en/storage-ceph/9.9.1?topic=administration-ceph-performance-benchmark","https://www.ibm.com/docs/en/storage-ceph/9.9.1?topic=administration-ceph-performance-benchmark")</f>
        <v/>
      </c>
    </row>
    <row r="516" ht="18" customHeight="1">
      <c r="A516" s="8" t="inlineStr">
        <is>
          <t>16.1.8.1</t>
        </is>
      </c>
      <c r="B516" s="9" t="inlineStr">
        <is>
          <t xml:space="preserve">      Performance baseline</t>
        </is>
      </c>
      <c r="C516" s="10">
        <f>HYPERLINK("https://www.ibm.com/docs/en/storage-ceph/9.9.1?topic=benchmark-performance-baseline","https://www.ibm.com/docs/en/storage-ceph/9.9.1?topic=benchmark-performance-baseline")</f>
        <v/>
      </c>
    </row>
    <row r="517" ht="18" customHeight="1">
      <c r="A517" s="8" t="inlineStr">
        <is>
          <t>16.1.8.2</t>
        </is>
      </c>
      <c r="B517" s="9" t="inlineStr">
        <is>
          <t xml:space="preserve">      Benchmarking Ceph performance</t>
        </is>
      </c>
      <c r="C517" s="10">
        <f>HYPERLINK("https://www.ibm.com/docs/en/storage-ceph/9.9.1?topic=benchmark-benchmarking-ceph-performance","https://www.ibm.com/docs/en/storage-ceph/9.9.1?topic=benchmark-benchmarking-ceph-performance")</f>
        <v/>
      </c>
    </row>
    <row r="518" ht="18" customHeight="1">
      <c r="A518" s="8" t="inlineStr">
        <is>
          <t>16.1.8.3</t>
        </is>
      </c>
      <c r="B518" s="9" t="inlineStr">
        <is>
          <t xml:space="preserve">      Benchmarking Ceph block performance</t>
        </is>
      </c>
      <c r="C518" s="10">
        <f>HYPERLINK("https://www.ibm.com/docs/en/storage-ceph/9.9.1?topic=benchmark-benchmarking-ceph-block-performance","https://www.ibm.com/docs/en/storage-ceph/9.9.1?topic=benchmark-benchmarking-ceph-block-performance")</f>
        <v/>
      </c>
    </row>
    <row r="519" ht="18" customHeight="1">
      <c r="A519" s="8" t="inlineStr">
        <is>
          <t>16.1.8.4</t>
        </is>
      </c>
      <c r="B519" s="9" t="inlineStr">
        <is>
          <t xml:space="preserve">      Benchmarking CephFS performance</t>
        </is>
      </c>
      <c r="C519" s="10">
        <f>HYPERLINK("https://www.ibm.com/docs/en/storage-ceph/9.9.1?topic=benchmark-benchmarking-cephfs-performance","https://www.ibm.com/docs/en/storage-ceph/9.9.1?topic=benchmark-benchmarking-cephfs-performance")</f>
        <v/>
      </c>
    </row>
    <row r="520" ht="18" customHeight="1">
      <c r="A520" s="8" t="inlineStr">
        <is>
          <t>16.1.8.5</t>
        </is>
      </c>
      <c r="B520" s="9" t="inlineStr">
        <is>
          <t xml:space="preserve">      Benchmarking Ceph Object Gateway performance</t>
        </is>
      </c>
      <c r="C520" s="10">
        <f>HYPERLINK("https://www.ibm.com/docs/en/storage-ceph/9.9.1?topic=benchmark-benchmarking-ceph-object-gateway-performance","https://www.ibm.com/docs/en/storage-ceph/9.9.1?topic=benchmark-benchmarking-ceph-object-gateway-performance")</f>
        <v/>
      </c>
    </row>
    <row r="521" ht="18" customHeight="1">
      <c r="A521" s="8" t="inlineStr">
        <is>
          <t>16.1.9</t>
        </is>
      </c>
      <c r="B521" s="9" t="inlineStr">
        <is>
          <t xml:space="preserve">    Ceph performance counters</t>
        </is>
      </c>
      <c r="C521" s="10">
        <f>HYPERLINK("https://www.ibm.com/docs/en/storage-ceph/9.9.1?topic=administration-ceph-performance-counters","https://www.ibm.com/docs/en/storage-ceph/9.9.1?topic=administration-ceph-performance-counters")</f>
        <v/>
      </c>
    </row>
    <row r="522" ht="18" customHeight="1">
      <c r="A522" s="8" t="inlineStr">
        <is>
          <t>16.1.9.1</t>
        </is>
      </c>
      <c r="B522" s="9" t="inlineStr">
        <is>
          <t xml:space="preserve">      Access to Ceph performance counters</t>
        </is>
      </c>
      <c r="C522" s="10">
        <f>HYPERLINK("https://www.ibm.com/docs/en/storage-ceph/9.9.1?topic=counters-access-ceph-performance","https://www.ibm.com/docs/en/storage-ceph/9.9.1?topic=counters-access-ceph-performance")</f>
        <v/>
      </c>
    </row>
    <row r="523" ht="18" customHeight="1">
      <c r="A523" s="8" t="inlineStr">
        <is>
          <t>16.1.9.2</t>
        </is>
      </c>
      <c r="B523" s="9" t="inlineStr">
        <is>
          <t xml:space="preserve">      Display Ceph performance counters</t>
        </is>
      </c>
      <c r="C523" s="10">
        <f>HYPERLINK("https://www.ibm.com/docs/en/storage-ceph/9.9.1?topic=counters-display-ceph-performance","https://www.ibm.com/docs/en/storage-ceph/9.9.1?topic=counters-display-ceph-performance")</f>
        <v/>
      </c>
    </row>
    <row r="524" ht="18" customHeight="1">
      <c r="A524" s="8" t="inlineStr">
        <is>
          <t>16.1.9.3</t>
        </is>
      </c>
      <c r="B524" s="9" t="inlineStr">
        <is>
          <t xml:space="preserve">      Viewing the performance counters for users and buckets</t>
        </is>
      </c>
      <c r="C524" s="10">
        <f>HYPERLINK("https://www.ibm.com/docs/en/storage-ceph/9.9.1?topic=counters-viewing-performance-users-buckets","https://www.ibm.com/docs/en/storage-ceph/9.9.1?topic=counters-viewing-performance-users-buckets")</f>
        <v/>
      </c>
    </row>
    <row r="525" ht="18" customHeight="1">
      <c r="A525" s="8" t="inlineStr">
        <is>
          <t>16.1.9.4</t>
        </is>
      </c>
      <c r="B525" s="9" t="inlineStr">
        <is>
          <t xml:space="preserve">      Dump Ceph performance counters</t>
        </is>
      </c>
      <c r="C525" s="10">
        <f>HYPERLINK("https://www.ibm.com/docs/en/storage-ceph/9.9.1?topic=counters-dump-ceph-performance","https://www.ibm.com/docs/en/storage-ceph/9.9.1?topic=counters-dump-ceph-performance")</f>
        <v/>
      </c>
    </row>
    <row r="526" ht="18" customHeight="1">
      <c r="A526" s="8" t="inlineStr">
        <is>
          <t>16.1.9.5</t>
        </is>
      </c>
      <c r="B526" s="9" t="inlineStr">
        <is>
          <t xml:space="preserve">      Average count and sum</t>
        </is>
      </c>
      <c r="C526" s="10">
        <f>HYPERLINK("https://www.ibm.com/docs/en/storage-ceph/9.9.1?topic=counters-average-count-sum","https://www.ibm.com/docs/en/storage-ceph/9.9.1?topic=counters-average-count-sum")</f>
        <v/>
      </c>
    </row>
    <row r="527" ht="18" customHeight="1">
      <c r="A527" s="8" t="inlineStr">
        <is>
          <t>16.1.9.6</t>
        </is>
      </c>
      <c r="B527" s="9" t="inlineStr">
        <is>
          <t xml:space="preserve">      Ceph Monitor metrics</t>
        </is>
      </c>
      <c r="C527" s="10">
        <f>HYPERLINK("https://www.ibm.com/docs/en/storage-ceph/9.9.1?topic=counters-ceph-monitor-metrics","https://www.ibm.com/docs/en/storage-ceph/9.9.1?topic=counters-ceph-monitor-metrics")</f>
        <v/>
      </c>
    </row>
    <row r="528" ht="18" customHeight="1">
      <c r="A528" s="8" t="inlineStr">
        <is>
          <t>16.1.9.7</t>
        </is>
      </c>
      <c r="B528" s="9" t="inlineStr">
        <is>
          <t xml:space="preserve">      Ceph OSD metrics</t>
        </is>
      </c>
      <c r="C528" s="10">
        <f>HYPERLINK("https://www.ibm.com/docs/en/storage-ceph/9.9.1?topic=counters-ceph-osd-metrics","https://www.ibm.com/docs/en/storage-ceph/9.9.1?topic=counters-ceph-osd-metrics")</f>
        <v/>
      </c>
    </row>
    <row r="529" ht="18" customHeight="1">
      <c r="A529" s="8" t="inlineStr">
        <is>
          <t>16.1.9.8</t>
        </is>
      </c>
      <c r="B529" s="9" t="inlineStr">
        <is>
          <t xml:space="preserve">      Ceph Object Gateway metrics</t>
        </is>
      </c>
      <c r="C529" s="10">
        <f>HYPERLINK("https://www.ibm.com/docs/en/storage-ceph/9.9.1?topic=counters-ceph-object-gateway-metrics","https://www.ibm.com/docs/en/storage-ceph/9.9.1?topic=counters-ceph-object-gateway-metrics")</f>
        <v/>
      </c>
    </row>
    <row r="530" ht="18" customHeight="1">
      <c r="A530" s="8" t="inlineStr">
        <is>
          <t>16.1.10</t>
        </is>
      </c>
      <c r="B530" s="9" t="inlineStr">
        <is>
          <t xml:space="preserve">    mClock OSD scheduler</t>
        </is>
      </c>
      <c r="C530" s="10">
        <f>HYPERLINK("https://www.ibm.com/docs/en/storage-ceph/9.9.1?topic=administration-mclock-osd-scheduler","https://www.ibm.com/docs/en/storage-ceph/9.9.1?topic=administration-mclock-osd-scheduler")</f>
        <v/>
      </c>
    </row>
    <row r="531" ht="18" customHeight="1">
      <c r="A531" s="8" t="inlineStr">
        <is>
          <t>16.1.10.1</t>
        </is>
      </c>
      <c r="B531" s="9" t="inlineStr">
        <is>
          <t xml:space="preserve">      Comparison of mClock OSD scheduler with WPQ OSD scheduler</t>
        </is>
      </c>
      <c r="C531" s="10">
        <f>HYPERLINK("https://www.ibm.com/docs/en/storage-ceph/9.9.1?topic=scheduler-comparison-mclock-osd-wpq-osd","https://www.ibm.com/docs/en/storage-ceph/9.9.1?topic=scheduler-comparison-mclock-osd-wpq-osd")</f>
        <v/>
      </c>
    </row>
    <row r="532" ht="18" customHeight="1">
      <c r="A532" s="8" t="inlineStr">
        <is>
          <t>16.1.10.2</t>
        </is>
      </c>
      <c r="B532" s="9" t="inlineStr">
        <is>
          <t xml:space="preserve">      Allocation of input and output resources</t>
        </is>
      </c>
      <c r="C532" s="10">
        <f>HYPERLINK("https://www.ibm.com/docs/en/storage-ceph/9.9.1?topic=scheduler-allocation-input-output-resources","https://www.ibm.com/docs/en/storage-ceph/9.9.1?topic=scheduler-allocation-input-output-resources")</f>
        <v/>
      </c>
    </row>
    <row r="533" ht="18" customHeight="1">
      <c r="A533" s="8" t="inlineStr">
        <is>
          <t>16.1.10.3</t>
        </is>
      </c>
      <c r="B533" s="9" t="inlineStr">
        <is>
          <t xml:space="preserve">      Factors impacting mClock operation queues</t>
        </is>
      </c>
      <c r="C533" s="10">
        <f>HYPERLINK("https://www.ibm.com/docs/en/storage-ceph/9.9.1?topic=scheduler-factors-impacting-mclock-operation-queues","https://www.ibm.com/docs/en/storage-ceph/9.9.1?topic=scheduler-factors-impacting-mclock-operation-queues")</f>
        <v/>
      </c>
    </row>
    <row r="534" ht="18" customHeight="1">
      <c r="A534" s="8" t="inlineStr">
        <is>
          <t>16.1.10.4</t>
        </is>
      </c>
      <c r="B534" s="9" t="inlineStr">
        <is>
          <t xml:space="preserve">      mClock configuration</t>
        </is>
      </c>
      <c r="C534" s="10">
        <f>HYPERLINK("https://www.ibm.com/docs/en/storage-ceph/9.9.1?topic=scheduler-mclock-configuration","https://www.ibm.com/docs/en/storage-ceph/9.9.1?topic=scheduler-mclock-configuration")</f>
        <v/>
      </c>
    </row>
    <row r="535" ht="18" customHeight="1">
      <c r="A535" s="8" t="inlineStr">
        <is>
          <t>16.1.10.5</t>
        </is>
      </c>
      <c r="B535" s="9" t="inlineStr">
        <is>
          <t xml:space="preserve">      mClock clients</t>
        </is>
      </c>
      <c r="C535" s="10">
        <f>HYPERLINK("https://www.ibm.com/docs/en/storage-ceph/9.9.1?topic=scheduler-mclock-clients","https://www.ibm.com/docs/en/storage-ceph/9.9.1?topic=scheduler-mclock-clients")</f>
        <v/>
      </c>
    </row>
    <row r="536" ht="18" customHeight="1">
      <c r="A536" s="8" t="inlineStr">
        <is>
          <t>16.1.10.6</t>
        </is>
      </c>
      <c r="B536" s="9" t="inlineStr">
        <is>
          <t xml:space="preserve">      mClock profiles</t>
        </is>
      </c>
      <c r="C536" s="10">
        <f>HYPERLINK("https://www.ibm.com/docs/en/storage-ceph/9.9.1?topic=scheduler-mclock-profiles","https://www.ibm.com/docs/en/storage-ceph/9.9.1?topic=scheduler-mclock-profiles")</f>
        <v/>
      </c>
    </row>
    <row r="537" ht="18" customHeight="1">
      <c r="A537" s="8" t="inlineStr">
        <is>
          <t>16.1.10.7</t>
        </is>
      </c>
      <c r="B537" s="9" t="inlineStr">
        <is>
          <t xml:space="preserve">      mClock profile types</t>
        </is>
      </c>
      <c r="C537" s="10">
        <f>HYPERLINK("https://www.ibm.com/docs/en/storage-ceph/9.9.1?topic=scheduler-mclock-profile-types","https://www.ibm.com/docs/en/storage-ceph/9.9.1?topic=scheduler-mclock-profile-types")</f>
        <v/>
      </c>
    </row>
    <row r="538" ht="18" customHeight="1">
      <c r="A538" s="8" t="inlineStr">
        <is>
          <t>16.1.10.8</t>
        </is>
      </c>
      <c r="B538" s="9" t="inlineStr">
        <is>
          <t xml:space="preserve">      Changing mClock profiles</t>
        </is>
      </c>
      <c r="C538" s="10">
        <f>HYPERLINK("https://www.ibm.com/docs/en/storage-ceph/9.9.1?topic=scheduler-changing-mclock-profiles","https://www.ibm.com/docs/en/storage-ceph/9.9.1?topic=scheduler-changing-mclock-profiles")</f>
        <v/>
      </c>
    </row>
    <row r="539" ht="18" customHeight="1">
      <c r="A539" s="8" t="inlineStr">
        <is>
          <t>16.1.10.9</t>
        </is>
      </c>
      <c r="B539" s="9" t="inlineStr">
        <is>
          <t xml:space="preserve">      Switching between built-in and custom profiles</t>
        </is>
      </c>
      <c r="C539" s="10">
        <f>HYPERLINK("https://www.ibm.com/docs/en/storage-ceph/9.9.1?topic=scheduler-switching-between-built-in-custom-profiles","https://www.ibm.com/docs/en/storage-ceph/9.9.1?topic=scheduler-switching-between-built-in-custom-profiles")</f>
        <v/>
      </c>
    </row>
    <row r="540" ht="18" customHeight="1">
      <c r="A540" s="8" t="inlineStr">
        <is>
          <t>16.1.10.10</t>
        </is>
      </c>
      <c r="B540" s="9" t="inlineStr">
        <is>
          <t xml:space="preserve">      Switching temporarily between mClock profiles</t>
        </is>
      </c>
      <c r="C540" s="10">
        <f>HYPERLINK("https://www.ibm.com/docs/en/storage-ceph/9.9.1?topic=scheduler-switching-temporarily-between-mclock-profiles","https://www.ibm.com/docs/en/storage-ceph/9.9.1?topic=scheduler-switching-temporarily-between-mclock-profiles")</f>
        <v/>
      </c>
    </row>
    <row r="541" ht="18" customHeight="1">
      <c r="A541" s="8" t="inlineStr">
        <is>
          <t>16.1.10.11</t>
        </is>
      </c>
      <c r="B541" s="9" t="inlineStr">
        <is>
          <t xml:space="preserve">      Degraded and misplaced object recovery rate with mClock profiles</t>
        </is>
      </c>
      <c r="C541" s="10">
        <f>HYPERLINK("https://www.ibm.com/docs/en/storage-ceph/9.9.1?topic=scheduler-degraded-misplaced-object-recovery-rate-mclock-profiles","https://www.ibm.com/docs/en/storage-ceph/9.9.1?topic=scheduler-degraded-misplaced-object-recovery-rate-mclock-profiles")</f>
        <v/>
      </c>
    </row>
    <row r="542" ht="18" customHeight="1">
      <c r="A542" s="8" t="inlineStr">
        <is>
          <t>16.1.10.12</t>
        </is>
      </c>
      <c r="B542" s="9" t="inlineStr">
        <is>
          <t xml:space="preserve">      Modifying backfills and recovery options</t>
        </is>
      </c>
      <c r="C542" s="10">
        <f>HYPERLINK("https://www.ibm.com/docs/en/storage-ceph/9.9.1?topic=scheduler-modifying-backfills-recovery-options","https://www.ibm.com/docs/en/storage-ceph/9.9.1?topic=scheduler-modifying-backfills-recovery-options")</f>
        <v/>
      </c>
    </row>
    <row r="543" ht="18" customHeight="1">
      <c r="A543" s="8" t="inlineStr">
        <is>
          <t>16.1.10.13</t>
        </is>
      </c>
      <c r="B543" s="9" t="inlineStr">
        <is>
          <t xml:space="preserve">      Ceph OSD capacity determination</t>
        </is>
      </c>
      <c r="C543" s="10">
        <f>HYPERLINK("https://www.ibm.com/docs/en/storage-ceph/9.9.1?topic=scheduler-ceph-osd-capacity-determination","https://www.ibm.com/docs/en/storage-ceph/9.9.1?topic=scheduler-ceph-osd-capacity-determination")</f>
        <v/>
      </c>
    </row>
    <row r="544" ht="18" customHeight="1">
      <c r="A544" s="8" t="inlineStr">
        <is>
          <t>16.1.10.14</t>
        </is>
      </c>
      <c r="B544" s="9" t="inlineStr">
        <is>
          <t xml:space="preserve">      Verifying the capacity of an OSD</t>
        </is>
      </c>
      <c r="C544" s="10">
        <f>HYPERLINK("https://www.ibm.com/docs/en/storage-ceph/9.9.1?topic=scheduler-verifying-capacity-osd","https://www.ibm.com/docs/en/storage-ceph/9.9.1?topic=scheduler-verifying-capacity-osd")</f>
        <v/>
      </c>
    </row>
    <row r="545" ht="18" customHeight="1">
      <c r="A545" s="8" t="inlineStr">
        <is>
          <t>16.1.10.15</t>
        </is>
      </c>
      <c r="B545" s="9" t="inlineStr">
        <is>
          <t xml:space="preserve">      Manually benchmarking OSDs</t>
        </is>
      </c>
      <c r="C545" s="10">
        <f>HYPERLINK("https://www.ibm.com/docs/en/storage-ceph/9.9.1?topic=scheduler-manually-benchmarking-osds","https://www.ibm.com/docs/en/storage-ceph/9.9.1?topic=scheduler-manually-benchmarking-osds")</f>
        <v/>
      </c>
    </row>
    <row r="546" ht="18" customHeight="1">
      <c r="A546" s="8" t="inlineStr">
        <is>
          <t>16.1.10.16</t>
        </is>
      </c>
      <c r="B546" s="9" t="inlineStr">
        <is>
          <t xml:space="preserve">      Determining BlueStore throttle values</t>
        </is>
      </c>
      <c r="C546" s="10">
        <f>HYPERLINK("https://www.ibm.com/docs/en/storage-ceph/9.9.1?topic=scheduler-determining-bluestore-throttle-values","https://www.ibm.com/docs/en/storage-ceph/9.9.1?topic=scheduler-determining-bluestore-throttle-values")</f>
        <v/>
      </c>
    </row>
    <row r="547" ht="18" customHeight="1">
      <c r="A547" s="8" t="inlineStr">
        <is>
          <t>16.1.10.17</t>
        </is>
      </c>
      <c r="B547" s="9" t="inlineStr">
        <is>
          <t xml:space="preserve">      Specifying maximum OSD capacity</t>
        </is>
      </c>
      <c r="C547" s="10">
        <f>HYPERLINK("https://www.ibm.com/docs/en/storage-ceph/9.9.1?topic=scheduler-specifying-maximum-osd-capacity","https://www.ibm.com/docs/en/storage-ceph/9.9.1?topic=scheduler-specifying-maximum-osd-capacity")</f>
        <v/>
      </c>
    </row>
    <row r="548" ht="18" customHeight="1">
      <c r="A548" s="8" t="inlineStr">
        <is>
          <t>16.1.10.18</t>
        </is>
      </c>
      <c r="B548" s="9" t="inlineStr">
        <is>
          <t xml:space="preserve">      mClock configuration options</t>
        </is>
      </c>
      <c r="C548" s="10">
        <f>HYPERLINK("https://www.ibm.com/docs/en/storage-ceph/9.9.1?topic=scheduler-mclock-configuration-options","https://www.ibm.com/docs/en/storage-ceph/9.9.1?topic=scheduler-mclock-configuration-options")</f>
        <v/>
      </c>
    </row>
    <row r="549" ht="18" customHeight="1">
      <c r="A549" s="8" t="inlineStr">
        <is>
          <t>16.1.11</t>
        </is>
      </c>
      <c r="B549" s="9" t="inlineStr">
        <is>
          <t xml:space="preserve">    BlueStore</t>
        </is>
      </c>
      <c r="C549" s="10">
        <f>HYPERLINK("https://www.ibm.com/docs/en/storage-ceph/9.9.1?topic=administration-bluestore","https://www.ibm.com/docs/en/storage-ceph/9.9.1?topic=administration-bluestore")</f>
        <v/>
      </c>
    </row>
    <row r="550" ht="18" customHeight="1">
      <c r="A550" s="8" t="inlineStr">
        <is>
          <t>16.1.11.1</t>
        </is>
      </c>
      <c r="B550" s="9" t="inlineStr">
        <is>
          <t xml:space="preserve">      BlueStore features</t>
        </is>
      </c>
      <c r="C550" s="10">
        <f>HYPERLINK("https://www.ibm.com/docs/en/storage-ceph/9.9.1?topic=bluestore-features","https://www.ibm.com/docs/en/storage-ceph/9.9.1?topic=bluestore-features")</f>
        <v/>
      </c>
    </row>
    <row r="551" ht="18" customHeight="1">
      <c r="A551" s="8" t="inlineStr">
        <is>
          <t>16.1.11.2</t>
        </is>
      </c>
      <c r="B551" s="9" t="inlineStr">
        <is>
          <t xml:space="preserve">      BlueStore devices</t>
        </is>
      </c>
      <c r="C551" s="10">
        <f>HYPERLINK("https://www.ibm.com/docs/en/storage-ceph/9.9.1?topic=bluestore-devices","https://www.ibm.com/docs/en/storage-ceph/9.9.1?topic=bluestore-devices")</f>
        <v/>
      </c>
    </row>
    <row r="552" ht="18" customHeight="1">
      <c r="A552" s="8" t="inlineStr">
        <is>
          <t>16.1.11.3</t>
        </is>
      </c>
      <c r="B552" s="9" t="inlineStr">
        <is>
          <t xml:space="preserve">      BlueStore caching</t>
        </is>
      </c>
      <c r="C552" s="10">
        <f>HYPERLINK("https://www.ibm.com/docs/en/storage-ceph/9.9.1?topic=bluestore-caching","https://www.ibm.com/docs/en/storage-ceph/9.9.1?topic=bluestore-caching")</f>
        <v/>
      </c>
    </row>
    <row r="553" ht="18" customHeight="1">
      <c r="A553" s="8" t="inlineStr">
        <is>
          <t>16.1.11.4</t>
        </is>
      </c>
      <c r="B553" s="9" t="inlineStr">
        <is>
          <t xml:space="preserve">      Sizing considerations</t>
        </is>
      </c>
      <c r="C553" s="10">
        <f>HYPERLINK("https://www.ibm.com/docs/en/storage-ceph/9.9.1?topic=bluestore-sizing-considerations","https://www.ibm.com/docs/en/storage-ceph/9.9.1?topic=bluestore-sizing-considerations")</f>
        <v/>
      </c>
    </row>
    <row r="554" ht="18" customHeight="1">
      <c r="A554" s="8" t="inlineStr">
        <is>
          <t>16.1.11.5</t>
        </is>
      </c>
      <c r="B554" s="9" t="inlineStr">
        <is>
          <t xml:space="preserve">      Tuning BlueStore</t>
        </is>
      </c>
      <c r="C554" s="10">
        <f>HYPERLINK("https://www.ibm.com/docs/en/storage-ceph/9.9.1?topic=bluestore-tuning","https://www.ibm.com/docs/en/storage-ceph/9.9.1?topic=bluestore-tuning")</f>
        <v/>
      </c>
    </row>
    <row r="555" ht="18" customHeight="1">
      <c r="A555" s="8" t="inlineStr">
        <is>
          <t>16.1.11.6</t>
        </is>
      </c>
      <c r="B555" s="9" t="inlineStr">
        <is>
          <t xml:space="preserve">      RocksDB cache behavior and metrics</t>
        </is>
      </c>
      <c r="C555" s="10">
        <f>HYPERLINK("https://www.ibm.com/docs/en/storage-ceph/9.9.1?topic=bluestore-rocksdb-cache-behavior-metrics","https://www.ibm.com/docs/en/storage-ceph/9.9.1?topic=bluestore-rocksdb-cache-behavior-metrics")</f>
        <v/>
      </c>
    </row>
    <row r="556" ht="18" customHeight="1">
      <c r="A556" s="8" t="inlineStr">
        <is>
          <t>16.1.11.7</t>
        </is>
      </c>
      <c r="B556" s="9" t="inlineStr">
        <is>
          <t xml:space="preserve">      Resharding the RocksDB database</t>
        </is>
      </c>
      <c r="C556" s="10">
        <f>HYPERLINK("https://www.ibm.com/docs/en/storage-ceph/9.9.1?topic=bluestore-resharding-rocksdb-database","https://www.ibm.com/docs/en/storage-ceph/9.9.1?topic=bluestore-resharding-rocksdb-database")</f>
        <v/>
      </c>
    </row>
    <row r="557" ht="18" customHeight="1">
      <c r="A557" s="8" t="inlineStr">
        <is>
          <t>16.1.11.8</t>
        </is>
      </c>
      <c r="B557" s="9" t="inlineStr">
        <is>
          <t xml:space="preserve">      BlueStore fragmentation tool</t>
        </is>
      </c>
      <c r="C557" s="10">
        <f>HYPERLINK("https://www.ibm.com/docs/en/storage-ceph/9.9.1?topic=bluestore-fragmentation-tool","https://www.ibm.com/docs/en/storage-ceph/9.9.1?topic=bluestore-fragmentation-tool")</f>
        <v/>
      </c>
    </row>
    <row r="558" ht="18" customHeight="1">
      <c r="A558" s="8" t="inlineStr">
        <is>
          <t>16.1.11.8.1</t>
        </is>
      </c>
      <c r="B558" s="9" t="inlineStr">
        <is>
          <t xml:space="preserve">        Checking for fragmentation</t>
        </is>
      </c>
      <c r="C558" s="10">
        <f>HYPERLINK("https://www.ibm.com/docs/en/storage-ceph/9.9.1?topic=tool-checking-fragmentation","https://www.ibm.com/docs/en/storage-ceph/9.9.1?topic=tool-checking-fragmentation")</f>
        <v/>
      </c>
    </row>
    <row r="559" ht="18" customHeight="1">
      <c r="A559" s="8" t="inlineStr">
        <is>
          <t>16.1.11.9</t>
        </is>
      </c>
      <c r="B559" s="9" t="inlineStr">
        <is>
          <t xml:space="preserve">      Ceph BlueStore BlueFS</t>
        </is>
      </c>
      <c r="C559" s="10">
        <f>HYPERLINK("https://www.ibm.com/docs/en/storage-ceph/9.9.1?topic=bluestore-ceph-bluefs","https://www.ibm.com/docs/en/storage-ceph/9.9.1?topic=bluestore-ceph-bluefs")</f>
        <v/>
      </c>
    </row>
    <row r="560" ht="18" customHeight="1">
      <c r="A560" s="8" t="inlineStr">
        <is>
          <t>16.1.11.9.1</t>
        </is>
      </c>
      <c r="B560" s="9" t="inlineStr">
        <is>
          <t xml:space="preserve">        Viewing the bluefs_buffered_io setting</t>
        </is>
      </c>
      <c r="C560" s="10">
        <f>HYPERLINK("https://www.ibm.com/docs/en/storage-ceph/9.9.1?topic=bluefs-viewing-buffered-io-setting","https://www.ibm.com/docs/en/storage-ceph/9.9.1?topic=bluefs-viewing-buffered-io-setting")</f>
        <v/>
      </c>
    </row>
    <row r="561" ht="18" customHeight="1">
      <c r="A561" s="8" t="inlineStr">
        <is>
          <t>16.1.11.9.2</t>
        </is>
      </c>
      <c r="B561" s="9" t="inlineStr">
        <is>
          <t xml:space="preserve">        Viewing Ceph BlueFS statistics for Ceph OSDs</t>
        </is>
      </c>
      <c r="C561" s="10">
        <f>HYPERLINK("https://www.ibm.com/docs/en/storage-ceph/9.9.1?topic=bluefs-viewing-ceph-statistics-ceph-osds","https://www.ibm.com/docs/en/storage-ceph/9.9.1?topic=bluefs-viewing-ceph-statistics-ceph-osds")</f>
        <v/>
      </c>
    </row>
    <row r="562" ht="18" customHeight="1">
      <c r="A562" s="8" t="inlineStr">
        <is>
          <t>16.1.11.10</t>
        </is>
      </c>
      <c r="B562" s="9" t="inlineStr">
        <is>
          <t xml:space="preserve">      Using the ceph-bluestore-tool</t>
        </is>
      </c>
      <c r="C562" s="10">
        <f>HYPERLINK("https://www.ibm.com/docs/en/storage-ceph/9.9.1?topic=bluestore-using-ceph-tool","https://www.ibm.com/docs/en/storage-ceph/9.9.1?topic=bluestore-using-ceph-tool")</f>
        <v/>
      </c>
    </row>
    <row r="563" ht="18" customHeight="1">
      <c r="A563" s="8" t="inlineStr">
        <is>
          <t>16.1.12</t>
        </is>
      </c>
      <c r="B563" s="9" t="inlineStr">
        <is>
          <t xml:space="preserve">    Crimson (Technology Preview)</t>
        </is>
      </c>
      <c r="C563" s="10">
        <f>HYPERLINK("https://www.ibm.com/docs/en/storage-ceph/9.9.1?topic=administration-crimson-technology-preview","https://www.ibm.com/docs/en/storage-ceph/9.9.1?topic=administration-crimson-technology-preview")</f>
        <v/>
      </c>
    </row>
    <row r="564" ht="18" customHeight="1">
      <c r="A564" s="8" t="inlineStr">
        <is>
          <t>16.1.12.1</t>
        </is>
      </c>
      <c r="B564" s="9" t="inlineStr">
        <is>
          <t xml:space="preserve">      Crimson metrics</t>
        </is>
      </c>
      <c r="C564" s="10">
        <f>HYPERLINK("https://www.ibm.com/docs/en/storage-ceph/9.9.1?topic=preview-crimson-metrics","https://www.ibm.com/docs/en/storage-ceph/9.9.1?topic=preview-crimson-metrics")</f>
        <v/>
      </c>
    </row>
    <row r="565" ht="18" customHeight="1">
      <c r="A565" s="8" t="inlineStr">
        <is>
          <t>16.1.12.2</t>
        </is>
      </c>
      <c r="B565" s="9" t="inlineStr">
        <is>
          <t xml:space="preserve">      Configuring Crimson</t>
        </is>
      </c>
      <c r="C565" s="10">
        <f>HYPERLINK("https://www.ibm.com/docs/en/storage-ceph/9.9.1?topic=preview-configuring-crimson","https://www.ibm.com/docs/en/storage-ceph/9.9.1?topic=preview-configuring-crimson")</f>
        <v/>
      </c>
    </row>
    <row r="566" ht="18" customHeight="1">
      <c r="A566" s="8" t="inlineStr">
        <is>
          <t>16.1.12.2.1</t>
        </is>
      </c>
      <c r="B566" s="9" t="inlineStr">
        <is>
          <t xml:space="preserve">        Configuring Crimson parameters</t>
        </is>
      </c>
      <c r="C566" s="10">
        <f>HYPERLINK("https://www.ibm.com/docs/en/storage-ceph/9.9.1?topic=crimson-configuring-parameters","https://www.ibm.com/docs/en/storage-ceph/9.9.1?topic=crimson-configuring-parameters")</f>
        <v/>
      </c>
    </row>
    <row r="567" ht="18" customHeight="1">
      <c r="A567" s="8" t="inlineStr">
        <is>
          <t>16.1.12.3</t>
        </is>
      </c>
      <c r="B567" s="9" t="inlineStr">
        <is>
          <t xml:space="preserve">      Logging</t>
        </is>
      </c>
      <c r="C567" s="10">
        <f>HYPERLINK("https://www.ibm.com/docs/en/storage-ceph/9.9.1?topic=preview-logging","https://www.ibm.com/docs/en/storage-ceph/9.9.1?topic=preview-logging")</f>
        <v/>
      </c>
    </row>
    <row r="568" ht="18" customHeight="1">
      <c r="A568" s="8" t="inlineStr">
        <is>
          <t>16.1.13</t>
        </is>
      </c>
      <c r="B568" s="9" t="inlineStr">
        <is>
          <t xml:space="preserve">    cephadm operations</t>
        </is>
      </c>
      <c r="C568" s="10">
        <f>HYPERLINK("https://www.ibm.com/docs/en/storage-ceph/9.9.1?topic=administration-cephadm-operations","https://www.ibm.com/docs/en/storage-ceph/9.9.1?topic=administration-cephadm-operations")</f>
        <v/>
      </c>
    </row>
    <row r="569" ht="18" customHeight="1">
      <c r="A569" s="8" t="inlineStr">
        <is>
          <t>16.1.13.1</t>
        </is>
      </c>
      <c r="B569" s="9" t="inlineStr">
        <is>
          <t xml:space="preserve">      Monitor cephadm log messages</t>
        </is>
      </c>
      <c r="C569" s="10">
        <f>HYPERLINK("https://www.ibm.com/docs/en/storage-ceph/9.9.1?topic=operations-monitor-cephadm-log-messages","https://www.ibm.com/docs/en/storage-ceph/9.9.1?topic=operations-monitor-cephadm-log-messages")</f>
        <v/>
      </c>
    </row>
    <row r="570" ht="18" customHeight="1">
      <c r="A570" s="8" t="inlineStr">
        <is>
          <t>16.1.13.2</t>
        </is>
      </c>
      <c r="B570" s="9" t="inlineStr">
        <is>
          <t xml:space="preserve">      Ceph daemon logs</t>
        </is>
      </c>
      <c r="C570" s="10">
        <f>HYPERLINK("https://www.ibm.com/docs/en/storage-ceph/9.9.1?topic=operations-ceph-daemon-logs","https://www.ibm.com/docs/en/storage-ceph/9.9.1?topic=operations-ceph-daemon-logs")</f>
        <v/>
      </c>
    </row>
    <row r="571" ht="18" customHeight="1">
      <c r="A571" s="8" t="inlineStr">
        <is>
          <t>16.1.13.3</t>
        </is>
      </c>
      <c r="B571" s="9" t="inlineStr">
        <is>
          <t xml:space="preserve">      Data location</t>
        </is>
      </c>
      <c r="C571" s="10">
        <f>HYPERLINK("https://www.ibm.com/docs/en/storage-ceph/9.9.1?topic=operations-data-location","https://www.ibm.com/docs/en/storage-ceph/9.9.1?topic=operations-data-location")</f>
        <v/>
      </c>
    </row>
    <row r="572" ht="18" customHeight="1">
      <c r="A572" s="8" t="inlineStr">
        <is>
          <t>16.1.13.4</t>
        </is>
      </c>
      <c r="B572" s="9" t="inlineStr">
        <is>
          <t xml:space="preserve">      cephadm health checks</t>
        </is>
      </c>
      <c r="C572" s="10">
        <f>HYPERLINK("https://www.ibm.com/docs/en/storage-ceph/9.9.1?topic=operations-cephadm-health-checks","https://www.ibm.com/docs/en/storage-ceph/9.9.1?topic=operations-cephadm-health-checks")</f>
        <v/>
      </c>
    </row>
    <row r="573" ht="18" customHeight="1">
      <c r="A573" s="8" t="inlineStr">
        <is>
          <t>16.1.13.4.1</t>
        </is>
      </c>
      <c r="B573" s="9" t="inlineStr">
        <is>
          <t xml:space="preserve">        cephadm operations health checks</t>
        </is>
      </c>
      <c r="C573" s="10">
        <f>HYPERLINK("https://www.ibm.com/docs/en/storage-ceph/9.9.1?topic=checks-cephadm-operations-health","https://www.ibm.com/docs/en/storage-ceph/9.9.1?topic=checks-cephadm-operations-health")</f>
        <v/>
      </c>
    </row>
    <row r="574" ht="18" customHeight="1">
      <c r="A574" s="8" t="inlineStr">
        <is>
          <t>16.1.13.4.2</t>
        </is>
      </c>
      <c r="B574" s="9" t="inlineStr">
        <is>
          <t xml:space="preserve">        cephadm configuration health checks</t>
        </is>
      </c>
      <c r="C574" s="10">
        <f>HYPERLINK("https://www.ibm.com/docs/en/storage-ceph/9.9.1?topic=checks-cephadm-configuration-health","https://www.ibm.com/docs/en/storage-ceph/9.9.1?topic=checks-cephadm-configuration-health")</f>
        <v/>
      </c>
    </row>
    <row r="575" ht="18" customHeight="1">
      <c r="A575" s="8" t="inlineStr">
        <is>
          <t>16.1.13.5</t>
        </is>
      </c>
      <c r="B575" s="9" t="inlineStr">
        <is>
          <t xml:space="preserve">      cephadm agent (Technology Preview)</t>
        </is>
      </c>
      <c r="C575" s="10">
        <f>HYPERLINK("https://www.ibm.com/docs/en/storage-ceph/9.9.1?topic=operations-cephadm-agent-technology-preview","https://www.ibm.com/docs/en/storage-ceph/9.9.1?topic=operations-cephadm-agent-technology-preview")</f>
        <v/>
      </c>
    </row>
    <row r="576" ht="18" customHeight="1">
      <c r="A576" s="8" t="inlineStr">
        <is>
          <t>16.1.13.5.1</t>
        </is>
      </c>
      <c r="B576" s="9" t="inlineStr">
        <is>
          <t xml:space="preserve">        Managing the cephadm agent</t>
        </is>
      </c>
      <c r="C576" s="10">
        <f>HYPERLINK("https://www.ibm.com/docs/en/storage-ceph/9.9.1?topic=preview-managing-cephadm-agent","https://www.ibm.com/docs/en/storage-ceph/9.9.1?topic=preview-managing-cephadm-agent")</f>
        <v/>
      </c>
    </row>
    <row r="577" ht="18" customHeight="1">
      <c r="A577" s="8" t="inlineStr">
        <is>
          <t>16.1.14</t>
        </is>
      </c>
      <c r="B577" s="9" t="inlineStr">
        <is>
          <t xml:space="preserve">    Using cephadm-ansible modules</t>
        </is>
      </c>
      <c r="C577" s="10">
        <f>HYPERLINK("https://www.ibm.com/docs/en/storage-ceph/9.9.1?topic=administration-using-cephadm-ansible-modules","https://www.ibm.com/docs/en/storage-ceph/9.9.1?topic=administration-using-cephadm-ansible-modules")</f>
        <v/>
      </c>
    </row>
    <row r="578" ht="18" customHeight="1">
      <c r="A578" s="8" t="inlineStr">
        <is>
          <t>16.1.14.1</t>
        </is>
      </c>
      <c r="B578" s="9" t="inlineStr">
        <is>
          <t xml:space="preserve">      cephadm-ansible module options</t>
        </is>
      </c>
      <c r="C578" s="10">
        <f>HYPERLINK("https://www.ibm.com/docs/en/storage-ceph/9.9.1?topic=modules-cephadm-ansible-module-options","https://www.ibm.com/docs/en/storage-ceph/9.9.1?topic=modules-cephadm-ansible-module-options")</f>
        <v/>
      </c>
    </row>
    <row r="579" ht="18" customHeight="1">
      <c r="A579" s="8" t="inlineStr">
        <is>
          <t>16.1.14.2</t>
        </is>
      </c>
      <c r="B579" s="9" t="inlineStr">
        <is>
          <t xml:space="preserve">      Bootstrapping a storage cluster with Ansible</t>
        </is>
      </c>
      <c r="C579" s="10">
        <f>HYPERLINK("https://www.ibm.com/docs/en/storage-ceph/9.9.1?topic=modules-bootstrapping-storage-cluster-ansible","https://www.ibm.com/docs/en/storage-ceph/9.9.1?topic=modules-bootstrapping-storage-cluster-ansible")</f>
        <v/>
      </c>
    </row>
    <row r="580" ht="18" customHeight="1">
      <c r="A580" s="8" t="inlineStr">
        <is>
          <t>16.1.14.3</t>
        </is>
      </c>
      <c r="B580" s="9" t="inlineStr">
        <is>
          <t xml:space="preserve">      Adding and removing hosts in the storage cluster</t>
        </is>
      </c>
      <c r="C580" s="10">
        <f>HYPERLINK("https://www.ibm.com/docs/en/storage-ceph/9.9.1?topic=modules-adding-removing-hosts-in-storage-cluster","https://www.ibm.com/docs/en/storage-ceph/9.9.1?topic=modules-adding-removing-hosts-in-storage-cluster")</f>
        <v/>
      </c>
    </row>
    <row r="581" ht="18" customHeight="1">
      <c r="A581" s="8" t="inlineStr">
        <is>
          <t>16.1.14.4</t>
        </is>
      </c>
      <c r="B581" s="9" t="inlineStr">
        <is>
          <t xml:space="preserve">      Setting configuration options</t>
        </is>
      </c>
      <c r="C581" s="10">
        <f>HYPERLINK("https://www.ibm.com/docs/en/storage-ceph/9.9.1?topic=modules-setting-configuration-options","https://www.ibm.com/docs/en/storage-ceph/9.9.1?topic=modules-setting-configuration-options")</f>
        <v/>
      </c>
    </row>
    <row r="582" ht="18" customHeight="1">
      <c r="A582" s="8" t="inlineStr">
        <is>
          <t>16.1.14.5</t>
        </is>
      </c>
      <c r="B582" s="9" t="inlineStr">
        <is>
          <t xml:space="preserve">      Applying a service specification</t>
        </is>
      </c>
      <c r="C582" s="10">
        <f>HYPERLINK("https://www.ibm.com/docs/en/storage-ceph/9.9.1?topic=modules-applying-service-specification","https://www.ibm.com/docs/en/storage-ceph/9.9.1?topic=modules-applying-service-specification")</f>
        <v/>
      </c>
    </row>
    <row r="583" ht="18" customHeight="1">
      <c r="A583" s="8" t="inlineStr">
        <is>
          <t>16.1.14.6</t>
        </is>
      </c>
      <c r="B583" s="9" t="inlineStr">
        <is>
          <t xml:space="preserve">      Managing Ceph daemon states</t>
        </is>
      </c>
      <c r="C583" s="10">
        <f>HYPERLINK("https://www.ibm.com/docs/en/storage-ceph/9.9.1?topic=modules-managing-ceph-daemon-states","https://www.ibm.com/docs/en/storage-ceph/9.9.1?topic=modules-managing-ceph-daemon-states")</f>
        <v/>
      </c>
    </row>
    <row r="584" ht="18" customHeight="1">
      <c r="A584" s="5" t="inlineStr">
        <is>
          <t>16.2</t>
        </is>
      </c>
      <c r="B584" s="6" t="inlineStr">
        <is>
          <t xml:space="preserve">  Operations</t>
        </is>
      </c>
      <c r="C584" s="7">
        <f>HYPERLINK("https://www.ibm.com/docs/en/storage-ceph/9.9.1?topic=administering-operations","https://www.ibm.com/docs/en/storage-ceph/9.9.1?topic=administering-operations")</f>
        <v/>
      </c>
    </row>
    <row r="585" ht="18" customHeight="1">
      <c r="A585" s="8" t="inlineStr">
        <is>
          <t>16.2.1</t>
        </is>
      </c>
      <c r="B585" s="9" t="inlineStr">
        <is>
          <t xml:space="preserve">    Introduction to the Ceph Orchestrator</t>
        </is>
      </c>
      <c r="C585" s="10">
        <f>HYPERLINK("https://www.ibm.com/docs/en/storage-ceph/9.9.1?topic=operations-introduction-ceph-orchestrator","https://www.ibm.com/docs/en/storage-ceph/9.9.1?topic=operations-introduction-ceph-orchestrator")</f>
        <v/>
      </c>
    </row>
    <row r="586" ht="18" customHeight="1">
      <c r="A586" s="8" t="inlineStr">
        <is>
          <t>16.2.2</t>
        </is>
      </c>
      <c r="B586" s="9" t="inlineStr">
        <is>
          <t xml:space="preserve">    Managing services</t>
        </is>
      </c>
      <c r="C586" s="10">
        <f>HYPERLINK("https://www.ibm.com/docs/en/storage-ceph/9.9.1?topic=operations-managing-services","https://www.ibm.com/docs/en/storage-ceph/9.9.1?topic=operations-managing-services")</f>
        <v/>
      </c>
    </row>
    <row r="587" ht="18" customHeight="1">
      <c r="A587" s="8" t="inlineStr">
        <is>
          <t>16.2.2.1</t>
        </is>
      </c>
      <c r="B587" s="9" t="inlineStr">
        <is>
          <t xml:space="preserve">      Checking service status</t>
        </is>
      </c>
      <c r="C587" s="10">
        <f>HYPERLINK("https://www.ibm.com/docs/en/storage-ceph/9.9.1?topic=services-checking-service-status","https://www.ibm.com/docs/en/storage-ceph/9.9.1?topic=services-checking-service-status")</f>
        <v/>
      </c>
    </row>
    <row r="588" ht="18" customHeight="1">
      <c r="A588" s="8" t="inlineStr">
        <is>
          <t>16.2.2.2</t>
        </is>
      </c>
      <c r="B588" s="9" t="inlineStr">
        <is>
          <t xml:space="preserve">      Checking daemon status</t>
        </is>
      </c>
      <c r="C588" s="10">
        <f>HYPERLINK("https://www.ibm.com/docs/en/storage-ceph/9.9.1?topic=services-checking-daemon-status","https://www.ibm.com/docs/en/storage-ceph/9.9.1?topic=services-checking-daemon-status")</f>
        <v/>
      </c>
    </row>
    <row r="589" ht="18" customHeight="1">
      <c r="A589" s="8" t="inlineStr">
        <is>
          <t>16.2.2.3</t>
        </is>
      </c>
      <c r="B589" s="9" t="inlineStr">
        <is>
          <t xml:space="preserve">      Placement specification of the Ceph Orchestrator</t>
        </is>
      </c>
      <c r="C589" s="10">
        <f>HYPERLINK("https://www.ibm.com/docs/en/storage-ceph/9.9.1?topic=services-placement-specification-ceph-orchestrator","https://www.ibm.com/docs/en/storage-ceph/9.9.1?topic=services-placement-specification-ceph-orchestrator")</f>
        <v/>
      </c>
    </row>
    <row r="590" ht="18" customHeight="1">
      <c r="A590" s="8" t="inlineStr">
        <is>
          <t>16.2.2.4</t>
        </is>
      </c>
      <c r="B590" s="9" t="inlineStr">
        <is>
          <t xml:space="preserve">      Deploying the Ceph daemons using the command line interface</t>
        </is>
      </c>
      <c r="C590" s="10">
        <f>HYPERLINK("https://www.ibm.com/docs/en/storage-ceph/9.9.1?topic=services-deploying-ceph-daemons-using-command-line-interface","https://www.ibm.com/docs/en/storage-ceph/9.9.1?topic=services-deploying-ceph-daemons-using-command-line-interface")</f>
        <v/>
      </c>
    </row>
    <row r="591" ht="18" customHeight="1">
      <c r="A591" s="8" t="inlineStr">
        <is>
          <t>16.2.2.5</t>
        </is>
      </c>
      <c r="B591" s="9" t="inlineStr">
        <is>
          <t xml:space="preserve">      Deploying the Ceph daemons on a subset of hosts using the command line interface</t>
        </is>
      </c>
      <c r="C591" s="10">
        <f>HYPERLINK("https://www.ibm.com/docs/en/storage-ceph/9.9.1?topic=ms-deploying-ceph-daemons-subset-hosts-using-command-line-interface","https://www.ibm.com/docs/en/storage-ceph/9.9.1?topic=ms-deploying-ceph-daemons-subset-hosts-using-command-line-interface")</f>
        <v/>
      </c>
    </row>
    <row r="592" ht="18" customHeight="1">
      <c r="A592" s="8" t="inlineStr">
        <is>
          <t>16.2.2.6</t>
        </is>
      </c>
      <c r="B592" s="9" t="inlineStr">
        <is>
          <t xml:space="preserve">      Service specification of the Ceph Orchestrator</t>
        </is>
      </c>
      <c r="C592" s="10">
        <f>HYPERLINK("https://www.ibm.com/docs/en/storage-ceph/9.9.1?topic=services-service-specification-ceph-orchestrator","https://www.ibm.com/docs/en/storage-ceph/9.9.1?topic=services-service-specification-ceph-orchestrator")</f>
        <v/>
      </c>
    </row>
    <row r="593" ht="18" customHeight="1">
      <c r="A593" s="8" t="inlineStr">
        <is>
          <t>16.2.2.7</t>
        </is>
      </c>
      <c r="B593" s="9" t="inlineStr">
        <is>
          <t xml:space="preserve">      Disabling automatic management of daemons</t>
        </is>
      </c>
      <c r="C593" s="10">
        <f>HYPERLINK("https://www.ibm.com/docs/en/storage-ceph/9.9.1?topic=services-disabling-automatic-management-daemons","https://www.ibm.com/docs/en/storage-ceph/9.9.1?topic=services-disabling-automatic-management-daemons")</f>
        <v/>
      </c>
    </row>
    <row r="594" ht="18" customHeight="1">
      <c r="A594" s="8" t="inlineStr">
        <is>
          <t>16.2.2.8</t>
        </is>
      </c>
      <c r="B594" s="9" t="inlineStr">
        <is>
          <t xml:space="preserve">      Deploying the Ceph daemons using the service specification</t>
        </is>
      </c>
      <c r="C594" s="10">
        <f>HYPERLINK("https://www.ibm.com/docs/en/storage-ceph/9.9.1?topic=services-deploying-ceph-daemons-using-service-specification","https://www.ibm.com/docs/en/storage-ceph/9.9.1?topic=services-deploying-ceph-daemons-using-service-specification")</f>
        <v/>
      </c>
    </row>
    <row r="595" ht="18" customHeight="1">
      <c r="A595" s="8" t="inlineStr">
        <is>
          <t>16.2.3</t>
        </is>
      </c>
      <c r="B595" s="9" t="inlineStr">
        <is>
          <t xml:space="preserve">    Managing hosts</t>
        </is>
      </c>
      <c r="C595" s="10">
        <f>HYPERLINK("https://www.ibm.com/docs/en/storage-ceph/9.9.1?topic=operations-managing-hosts","https://www.ibm.com/docs/en/storage-ceph/9.9.1?topic=operations-managing-hosts")</f>
        <v/>
      </c>
    </row>
    <row r="596" ht="18" customHeight="1">
      <c r="A596" s="8" t="inlineStr">
        <is>
          <t>16.2.3.1</t>
        </is>
      </c>
      <c r="B596" s="9" t="inlineStr">
        <is>
          <t xml:space="preserve">      Adding hosts with Ceph Orchestrator</t>
        </is>
      </c>
      <c r="C596" s="10">
        <f>HYPERLINK("https://www.ibm.com/docs/en/storage-ceph/9.9.1?topic=hosts-adding-ceph-orchestrator","https://www.ibm.com/docs/en/storage-ceph/9.9.1?topic=hosts-adding-ceph-orchestrator")</f>
        <v/>
      </c>
    </row>
    <row r="597" ht="18" customHeight="1">
      <c r="A597" s="8" t="inlineStr">
        <is>
          <t>16.2.3.2</t>
        </is>
      </c>
      <c r="B597" s="9" t="inlineStr">
        <is>
          <t xml:space="preserve">      Adding multiple hosts</t>
        </is>
      </c>
      <c r="C597" s="10">
        <f>HYPERLINK("https://www.ibm.com/docs/en/storage-ceph/9.9.1?topic=mh-adding-multiple-hosts","https://www.ibm.com/docs/en/storage-ceph/9.9.1?topic=mh-adding-multiple-hosts")</f>
        <v/>
      </c>
    </row>
    <row r="598" ht="18" customHeight="1">
      <c r="A598" s="8" t="inlineStr">
        <is>
          <t>16.2.3.3</t>
        </is>
      </c>
      <c r="B598" s="9" t="inlineStr">
        <is>
          <t xml:space="preserve">      Listing hosts</t>
        </is>
      </c>
      <c r="C598" s="10">
        <f>HYPERLINK("https://www.ibm.com/docs/en/storage-ceph/9.9.1?topic=hosts-listing","https://www.ibm.com/docs/en/storage-ceph/9.9.1?topic=hosts-listing")</f>
        <v/>
      </c>
    </row>
    <row r="599" ht="18" customHeight="1">
      <c r="A599" s="8" t="inlineStr">
        <is>
          <t>16.2.3.4</t>
        </is>
      </c>
      <c r="B599" s="9" t="inlineStr">
        <is>
          <t xml:space="preserve">      Adding labels to a host</t>
        </is>
      </c>
      <c r="C599" s="10">
        <f>HYPERLINK("https://www.ibm.com/docs/en/storage-ceph/9.9.1?topic=mh-adding-labels-host","https://www.ibm.com/docs/en/storage-ceph/9.9.1?topic=mh-adding-labels-host")</f>
        <v/>
      </c>
    </row>
    <row r="600" ht="18" customHeight="1">
      <c r="A600" s="8" t="inlineStr">
        <is>
          <t>16.2.3.5</t>
        </is>
      </c>
      <c r="B600" s="9" t="inlineStr">
        <is>
          <t xml:space="preserve">      Removing labels from a host</t>
        </is>
      </c>
      <c r="C600" s="10">
        <f>HYPERLINK("https://www.ibm.com/docs/en/storage-ceph/9.9.1?topic=mh-removing-labels-from-host","https://www.ibm.com/docs/en/storage-ceph/9.9.1?topic=mh-removing-labels-from-host")</f>
        <v/>
      </c>
    </row>
    <row r="601" ht="18" customHeight="1">
      <c r="A601" s="8" t="inlineStr">
        <is>
          <t>16.2.3.6</t>
        </is>
      </c>
      <c r="B601" s="9" t="inlineStr">
        <is>
          <t xml:space="preserve">      Removing hosts</t>
        </is>
      </c>
      <c r="C601" s="10">
        <f>HYPERLINK("https://www.ibm.com/docs/en/storage-ceph/9.9.1?topic=hosts-removing","https://www.ibm.com/docs/en/storage-ceph/9.9.1?topic=hosts-removing")</f>
        <v/>
      </c>
    </row>
    <row r="602" ht="18" customHeight="1">
      <c r="A602" s="8" t="inlineStr">
        <is>
          <t>16.2.3.7</t>
        </is>
      </c>
      <c r="B602" s="9" t="inlineStr">
        <is>
          <t xml:space="preserve">      Placing hosts in the maintenance mode</t>
        </is>
      </c>
      <c r="C602" s="10">
        <f>HYPERLINK("https://www.ibm.com/docs/en/storage-ceph/9.9.1?topic=hosts-placing-in-maintenance-mode","https://www.ibm.com/docs/en/storage-ceph/9.9.1?topic=hosts-placing-in-maintenance-mode")</f>
        <v/>
      </c>
    </row>
    <row r="603" ht="18" customHeight="1">
      <c r="A603" s="8" t="inlineStr">
        <is>
          <t>16.2.3.8</t>
        </is>
      </c>
      <c r="B603" s="9" t="inlineStr">
        <is>
          <t xml:space="preserve">      Configuring SSH hardening</t>
        </is>
      </c>
      <c r="C603" s="10">
        <f>HYPERLINK("https://www.ibm.com/docs/en/storage-ceph/9.9.1?topic=hosts-configuring-ssh-hardening","https://www.ibm.com/docs/en/storage-ceph/9.9.1?topic=hosts-configuring-ssh-hardening")</f>
        <v/>
      </c>
    </row>
    <row r="604" ht="18" customHeight="1">
      <c r="A604" s="8" t="inlineStr">
        <is>
          <t>16.2.4</t>
        </is>
      </c>
      <c r="B604" s="9" t="inlineStr">
        <is>
          <t xml:space="preserve">    Managing monitors</t>
        </is>
      </c>
      <c r="C604" s="10">
        <f>HYPERLINK("https://www.ibm.com/docs/en/storage-ceph/9.9.1?topic=operations-managing-monitors","https://www.ibm.com/docs/en/storage-ceph/9.9.1?topic=operations-managing-monitors")</f>
        <v/>
      </c>
    </row>
    <row r="605" ht="18" customHeight="1">
      <c r="A605" s="8" t="inlineStr">
        <is>
          <t>16.2.4.1</t>
        </is>
      </c>
      <c r="B605" s="9" t="inlineStr">
        <is>
          <t xml:space="preserve">      Ceph Monitors</t>
        </is>
      </c>
      <c r="C605" s="10">
        <f>HYPERLINK("https://www.ibm.com/docs/en/storage-ceph/9.9.1?topic=monitors-ceph","https://www.ibm.com/docs/en/storage-ceph/9.9.1?topic=monitors-ceph")</f>
        <v/>
      </c>
    </row>
    <row r="606" ht="18" customHeight="1">
      <c r="A606" s="8" t="inlineStr">
        <is>
          <t>16.2.4.2</t>
        </is>
      </c>
      <c r="B606" s="9" t="inlineStr">
        <is>
          <t xml:space="preserve">      Configuring monitor election strategy</t>
        </is>
      </c>
      <c r="C606" s="10">
        <f>HYPERLINK("https://www.ibm.com/docs/en/storage-ceph/9.9.1?topic=monitors-configuring-monitor-election-strategy","https://www.ibm.com/docs/en/storage-ceph/9.9.1?topic=monitors-configuring-monitor-election-strategy")</f>
        <v/>
      </c>
    </row>
    <row r="607" ht="18" customHeight="1">
      <c r="A607" s="8" t="inlineStr">
        <is>
          <t>16.2.4.3</t>
        </is>
      </c>
      <c r="B607" s="9" t="inlineStr">
        <is>
          <t xml:space="preserve">      Deploying the Ceph monitor daemons using the command line interface</t>
        </is>
      </c>
      <c r="C607" s="10">
        <f>HYPERLINK("https://www.ibm.com/docs/en/storage-ceph/9.9.1?topic=mm-deploying-ceph-monitor-daemons-using-command-line-interface","https://www.ibm.com/docs/en/storage-ceph/9.9.1?topic=mm-deploying-ceph-monitor-daemons-using-command-line-interface")</f>
        <v/>
      </c>
    </row>
    <row r="608" ht="18" customHeight="1">
      <c r="A608" s="8" t="inlineStr">
        <is>
          <t>16.2.4.4</t>
        </is>
      </c>
      <c r="B608" s="9" t="inlineStr">
        <is>
          <t xml:space="preserve">      Deploying the Ceph monitor daemons using the service specification</t>
        </is>
      </c>
      <c r="C608" s="10">
        <f>HYPERLINK("https://www.ibm.com/docs/en/storage-ceph/9.9.1?topic=monitors-deploying-ceph-monitor-daemons-using-service-specification","https://www.ibm.com/docs/en/storage-ceph/9.9.1?topic=monitors-deploying-ceph-monitor-daemons-using-service-specification")</f>
        <v/>
      </c>
    </row>
    <row r="609" ht="18" customHeight="1">
      <c r="A609" s="8" t="inlineStr">
        <is>
          <t>16.2.4.5</t>
        </is>
      </c>
      <c r="B609" s="9" t="inlineStr">
        <is>
          <t xml:space="preserve">      Deploying the monitor daemons on specific network</t>
        </is>
      </c>
      <c r="C609" s="10">
        <f>HYPERLINK("https://www.ibm.com/docs/en/storage-ceph/9.9.1?topic=monitors-deploying-monitor-daemons-specific-network","https://www.ibm.com/docs/en/storage-ceph/9.9.1?topic=monitors-deploying-monitor-daemons-specific-network")</f>
        <v/>
      </c>
    </row>
    <row r="610" ht="18" customHeight="1">
      <c r="A610" s="8" t="inlineStr">
        <is>
          <t>16.2.4.6</t>
        </is>
      </c>
      <c r="B610" s="9" t="inlineStr">
        <is>
          <t xml:space="preserve">      Removing the monitor daemons</t>
        </is>
      </c>
      <c r="C610" s="10">
        <f>HYPERLINK("https://www.ibm.com/docs/en/storage-ceph/9.9.1?topic=monitors-removing-monitor-daemons","https://www.ibm.com/docs/en/storage-ceph/9.9.1?topic=monitors-removing-monitor-daemons")</f>
        <v/>
      </c>
    </row>
    <row r="611" ht="18" customHeight="1">
      <c r="A611" s="8" t="inlineStr">
        <is>
          <t>16.2.4.7</t>
        </is>
      </c>
      <c r="B611" s="9" t="inlineStr">
        <is>
          <t xml:space="preserve">      Removing a Ceph Monitor from an unhealthy storage cluster</t>
        </is>
      </c>
      <c r="C611" s="10">
        <f>HYPERLINK("https://www.ibm.com/docs/en/storage-ceph/9.9.1?topic=monitors-removing-ceph-monitor-from-unhealthy-storage-cluster","https://www.ibm.com/docs/en/storage-ceph/9.9.1?topic=monitors-removing-ceph-monitor-from-unhealthy-storage-cluster")</f>
        <v/>
      </c>
    </row>
    <row r="612" ht="18" customHeight="1">
      <c r="A612" s="8" t="inlineStr">
        <is>
          <t>16.2.5</t>
        </is>
      </c>
      <c r="B612" s="9" t="inlineStr">
        <is>
          <t xml:space="preserve">    Managing manager daemons</t>
        </is>
      </c>
      <c r="C612" s="10">
        <f>HYPERLINK("https://www.ibm.com/docs/en/storage-ceph/9.9.1?topic=operations-managing-manager-daemons","https://www.ibm.com/docs/en/storage-ceph/9.9.1?topic=operations-managing-manager-daemons")</f>
        <v/>
      </c>
    </row>
    <row r="613" ht="18" customHeight="1">
      <c r="A613" s="8" t="inlineStr">
        <is>
          <t>16.2.5.1</t>
        </is>
      </c>
      <c r="B613" s="9" t="inlineStr">
        <is>
          <t xml:space="preserve">      Deploying the manager daemons</t>
        </is>
      </c>
      <c r="C613" s="10">
        <f>HYPERLINK("https://www.ibm.com/docs/en/storage-ceph/9.9.1?topic=daemons-deploying-manager","https://www.ibm.com/docs/en/storage-ceph/9.9.1?topic=daemons-deploying-manager")</f>
        <v/>
      </c>
    </row>
    <row r="614" ht="18" customHeight="1">
      <c r="A614" s="8" t="inlineStr">
        <is>
          <t>16.2.5.2</t>
        </is>
      </c>
      <c r="B614" s="9" t="inlineStr">
        <is>
          <t xml:space="preserve">      Removing the manager daemons</t>
        </is>
      </c>
      <c r="C614" s="10">
        <f>HYPERLINK("https://www.ibm.com/docs/en/storage-ceph/9.9.1?topic=daemons-removing-manager","https://www.ibm.com/docs/en/storage-ceph/9.9.1?topic=daemons-removing-manager")</f>
        <v/>
      </c>
    </row>
    <row r="615" ht="18" customHeight="1">
      <c r="A615" s="8" t="inlineStr">
        <is>
          <t>16.2.5.3</t>
        </is>
      </c>
      <c r="B615" s="9" t="inlineStr">
        <is>
          <t xml:space="preserve">      Using Ceph Manager modules</t>
        </is>
      </c>
      <c r="C615" s="10">
        <f>HYPERLINK("https://www.ibm.com/docs/en/storage-ceph/9.9.1?topic=daemons-using-ceph-manager-modules","https://www.ibm.com/docs/en/storage-ceph/9.9.1?topic=daemons-using-ceph-manager-modules")</f>
        <v/>
      </c>
    </row>
    <row r="616" ht="18" customHeight="1">
      <c r="A616" s="8" t="inlineStr">
        <is>
          <t>16.2.5.4</t>
        </is>
      </c>
      <c r="B616" s="9" t="inlineStr">
        <is>
          <t xml:space="preserve">      Using the Ceph Manager balancer module</t>
        </is>
      </c>
      <c r="C616" s="10">
        <f>HYPERLINK("https://www.ibm.com/docs/en/storage-ceph/9.9.1?topic=daemons-using-ceph-manager-balancer-module","https://www.ibm.com/docs/en/storage-ceph/9.9.1?topic=daemons-using-ceph-manager-balancer-module")</f>
        <v/>
      </c>
    </row>
    <row r="617" ht="18" customHeight="1">
      <c r="A617" s="8" t="inlineStr">
        <is>
          <t>16.2.5.4.1</t>
        </is>
      </c>
      <c r="B617" s="9" t="inlineStr">
        <is>
          <t xml:space="preserve">        Balancing IBM Storage Ceph cluster using the capacity balancer</t>
        </is>
      </c>
      <c r="C617" s="10">
        <f>HYPERLINK("https://www.ibm.com/docs/en/storage-ceph/9.9.1?topic=module-balancing-storage-ceph-cluster-using-capacity-balancer","https://www.ibm.com/docs/en/storage-ceph/9.9.1?topic=module-balancing-storage-ceph-cluster-using-capacity-balancer")</f>
        <v/>
      </c>
    </row>
    <row r="618" ht="18" customHeight="1">
      <c r="A618" s="8" t="inlineStr">
        <is>
          <t>16.2.5.4.1.1</t>
        </is>
      </c>
      <c r="B618" s="9" t="inlineStr">
        <is>
          <t xml:space="preserve">          Automatic balancing</t>
        </is>
      </c>
      <c r="C618" s="10">
        <f>HYPERLINK("https://www.ibm.com/docs/en/storage-ceph/9.9.1?topic=balancer-automatic-balancing","https://www.ibm.com/docs/en/storage-ceph/9.9.1?topic=balancer-automatic-balancing")</f>
        <v/>
      </c>
    </row>
    <row r="619" ht="18" customHeight="1">
      <c r="A619" s="8" t="inlineStr">
        <is>
          <t>16.2.5.4.1.2</t>
        </is>
      </c>
      <c r="B619" s="9" t="inlineStr">
        <is>
          <t xml:space="preserve">          Throttling</t>
        </is>
      </c>
      <c r="C619" s="10">
        <f>HYPERLINK("https://www.ibm.com/docs/en/storage-ceph/9.9.1?topic=balancer-throttling","https://www.ibm.com/docs/en/storage-ceph/9.9.1?topic=balancer-throttling")</f>
        <v/>
      </c>
    </row>
    <row r="620" ht="18" customHeight="1">
      <c r="A620" s="8" t="inlineStr">
        <is>
          <t>16.2.5.4.1.3</t>
        </is>
      </c>
      <c r="B620" s="9" t="inlineStr">
        <is>
          <t xml:space="preserve">          Supervised optimization</t>
        </is>
      </c>
      <c r="C620" s="10">
        <f>HYPERLINK("https://www.ibm.com/docs/en/storage-ceph/9.9.1?topic=balancer-supervised-optimization","https://www.ibm.com/docs/en/storage-ceph/9.9.1?topic=balancer-supervised-optimization")</f>
        <v/>
      </c>
    </row>
    <row r="621" ht="18" customHeight="1">
      <c r="A621" s="8" t="inlineStr">
        <is>
          <t>16.2.5.4.2</t>
        </is>
      </c>
      <c r="B621" s="9" t="inlineStr">
        <is>
          <t xml:space="preserve">        Balancing a Ceph cluster using read balancer</t>
        </is>
      </c>
      <c r="C621" s="10">
        <f>HYPERLINK("https://www.ibm.com/docs/en/storage-ceph/9.9.1?topic=module-balancing-ceph-cluster-using-read-balancer","https://www.ibm.com/docs/en/storage-ceph/9.9.1?topic=module-balancing-ceph-cluster-using-read-balancer")</f>
        <v/>
      </c>
    </row>
    <row r="622" ht="18" customHeight="1">
      <c r="A622" s="8" t="inlineStr">
        <is>
          <t>16.2.5.5</t>
        </is>
      </c>
      <c r="B622" s="9" t="inlineStr">
        <is>
          <t xml:space="preserve">      Using the Ceph Manager alerts module</t>
        </is>
      </c>
      <c r="C622" s="10">
        <f>HYPERLINK("https://www.ibm.com/docs/en/storage-ceph/9.9.1?topic=daemons-using-ceph-manager-alerts-module","https://www.ibm.com/docs/en/storage-ceph/9.9.1?topic=daemons-using-ceph-manager-alerts-module")</f>
        <v/>
      </c>
    </row>
    <row r="623" ht="18" customHeight="1">
      <c r="A623" s="8" t="inlineStr">
        <is>
          <t>16.2.5.6</t>
        </is>
      </c>
      <c r="B623" s="9" t="inlineStr">
        <is>
          <t xml:space="preserve">      Using the Ceph manager crash module</t>
        </is>
      </c>
      <c r="C623" s="10">
        <f>HYPERLINK("https://www.ibm.com/docs/en/storage-ceph/9.9.1?topic=daemons-using-ceph-manager-crash-module","https://www.ibm.com/docs/en/storage-ceph/9.9.1?topic=daemons-using-ceph-manager-crash-module")</f>
        <v/>
      </c>
    </row>
    <row r="624" ht="18" customHeight="1">
      <c r="A624" s="8" t="inlineStr">
        <is>
          <t>16.2.5.7</t>
        </is>
      </c>
      <c r="B624" s="9" t="inlineStr">
        <is>
          <t xml:space="preserve">      Telemetry module</t>
        </is>
      </c>
      <c r="C624" s="10">
        <f>HYPERLINK("https://www.ibm.com/docs/en/storage-ceph/9.9.1?topic=daemons-telemetry-module","https://www.ibm.com/docs/en/storage-ceph/9.9.1?topic=daemons-telemetry-module")</f>
        <v/>
      </c>
    </row>
    <row r="625" ht="18" customHeight="1">
      <c r="A625" s="8" t="inlineStr">
        <is>
          <t>16.2.6</t>
        </is>
      </c>
      <c r="B625" s="9" t="inlineStr">
        <is>
          <t xml:space="preserve">    Managing OSDs</t>
        </is>
      </c>
      <c r="C625" s="10">
        <f>HYPERLINK("https://www.ibm.com/docs/en/storage-ceph/9.9.1?topic=operations-managing-osds","https://www.ibm.com/docs/en/storage-ceph/9.9.1?topic=operations-managing-osds")</f>
        <v/>
      </c>
    </row>
    <row r="626" ht="18" customHeight="1">
      <c r="A626" s="8" t="inlineStr">
        <is>
          <t>16.2.6.1</t>
        </is>
      </c>
      <c r="B626" s="9" t="inlineStr">
        <is>
          <t xml:space="preserve">      Automatically tuning OSD memory</t>
        </is>
      </c>
      <c r="C626" s="10">
        <f>HYPERLINK("https://www.ibm.com/docs/en/storage-ceph/9.9.1?topic=osds-automatically-tuning-osd-memory","https://www.ibm.com/docs/en/storage-ceph/9.9.1?topic=osds-automatically-tuning-osd-memory")</f>
        <v/>
      </c>
    </row>
    <row r="627" ht="18" customHeight="1">
      <c r="A627" s="8" t="inlineStr">
        <is>
          <t>16.2.6.2</t>
        </is>
      </c>
      <c r="B627" s="9" t="inlineStr">
        <is>
          <t xml:space="preserve">      Listing devices for Ceph OSD deployment</t>
        </is>
      </c>
      <c r="C627" s="10">
        <f>HYPERLINK("https://www.ibm.com/docs/en/storage-ceph/9.9.1?topic=osds-listing-devices-ceph-osd-deployment","https://www.ibm.com/docs/en/storage-ceph/9.9.1?topic=osds-listing-devices-ceph-osd-deployment")</f>
        <v/>
      </c>
    </row>
    <row r="628" ht="18" customHeight="1">
      <c r="A628" s="8" t="inlineStr">
        <is>
          <t>16.2.6.3</t>
        </is>
      </c>
      <c r="B628" s="9" t="inlineStr">
        <is>
          <t xml:space="preserve">      Zapping devices for Ceph OSD deployment</t>
        </is>
      </c>
      <c r="C628" s="10">
        <f>HYPERLINK("https://www.ibm.com/docs/en/storage-ceph/9.9.1?topic=osds-zapping-devices-ceph-osd-deployment","https://www.ibm.com/docs/en/storage-ceph/9.9.1?topic=osds-zapping-devices-ceph-osd-deployment")</f>
        <v/>
      </c>
    </row>
    <row r="629" ht="18" customHeight="1">
      <c r="A629" s="8" t="inlineStr">
        <is>
          <t>16.2.6.4</t>
        </is>
      </c>
      <c r="B629" s="9" t="inlineStr">
        <is>
          <t xml:space="preserve">      Deploying Ceph OSDs on all available devices</t>
        </is>
      </c>
      <c r="C629" s="10">
        <f>HYPERLINK("https://www.ibm.com/docs/en/storage-ceph/9.9.1?topic=osds-deploying-ceph-all-available-devices","https://www.ibm.com/docs/en/storage-ceph/9.9.1?topic=osds-deploying-ceph-all-available-devices")</f>
        <v/>
      </c>
    </row>
    <row r="630" ht="18" customHeight="1">
      <c r="A630" s="8" t="inlineStr">
        <is>
          <t>16.2.6.5</t>
        </is>
      </c>
      <c r="B630" s="9" t="inlineStr">
        <is>
          <t xml:space="preserve">      Deploying Ceph OSDs on specific devices and hosts</t>
        </is>
      </c>
      <c r="C630" s="10">
        <f>HYPERLINK("https://www.ibm.com/docs/en/storage-ceph/9.9.1?topic=osds-deploying-ceph-specific-devices-hosts","https://www.ibm.com/docs/en/storage-ceph/9.9.1?topic=osds-deploying-ceph-specific-devices-hosts")</f>
        <v/>
      </c>
    </row>
    <row r="631" ht="18" customHeight="1">
      <c r="A631" s="8" t="inlineStr">
        <is>
          <t>16.2.6.6</t>
        </is>
      </c>
      <c r="B631" s="9" t="inlineStr">
        <is>
          <t xml:space="preserve">      Advanced service specifications and filters for deploying OSDs</t>
        </is>
      </c>
      <c r="C631" s="10">
        <f>HYPERLINK("https://www.ibm.com/docs/en/storage-ceph/9.9.1?topic=osds-advanced-service-specifications-filters-deploying","https://www.ibm.com/docs/en/storage-ceph/9.9.1?topic=osds-advanced-service-specifications-filters-deploying")</f>
        <v/>
      </c>
    </row>
    <row r="632" ht="18" customHeight="1">
      <c r="A632" s="8" t="inlineStr">
        <is>
          <t>16.2.6.7</t>
        </is>
      </c>
      <c r="B632" s="9" t="inlineStr">
        <is>
          <t xml:space="preserve">      Deploying Ceph OSDs using advanced service specifications</t>
        </is>
      </c>
      <c r="C632" s="10">
        <f>HYPERLINK("https://www.ibm.com/docs/en/storage-ceph/9.9.1?topic=osds-deploying-ceph-using-advanced-service-specifications","https://www.ibm.com/docs/en/storage-ceph/9.9.1?topic=osds-deploying-ceph-using-advanced-service-specifications")</f>
        <v/>
      </c>
    </row>
    <row r="633" ht="18" customHeight="1">
      <c r="A633" s="8" t="inlineStr">
        <is>
          <t>16.2.6.8</t>
        </is>
      </c>
      <c r="B633" s="9" t="inlineStr">
        <is>
          <t xml:space="preserve">      Removing OSDs</t>
        </is>
      </c>
      <c r="C633" s="10">
        <f>HYPERLINK("https://www.ibm.com/docs/en/storage-ceph/9.9.1?topic=osds-removing","https://www.ibm.com/docs/en/storage-ceph/9.9.1?topic=osds-removing")</f>
        <v/>
      </c>
    </row>
    <row r="634" ht="18" customHeight="1">
      <c r="A634" s="8" t="inlineStr">
        <is>
          <t>16.2.6.9</t>
        </is>
      </c>
      <c r="B634" s="9" t="inlineStr">
        <is>
          <t xml:space="preserve">      Replacing the OSDs</t>
        </is>
      </c>
      <c r="C634" s="10">
        <f>HYPERLINK("https://www.ibm.com/docs/en/storage-ceph/9.9.1?topic=osds-replacing","https://www.ibm.com/docs/en/storage-ceph/9.9.1?topic=osds-replacing")</f>
        <v/>
      </c>
    </row>
    <row r="635" ht="18" customHeight="1">
      <c r="A635" s="8" t="inlineStr">
        <is>
          <t>16.2.6.10</t>
        </is>
      </c>
      <c r="B635" s="9" t="inlineStr">
        <is>
          <t xml:space="preserve">      Replacing the OSDs with pre-created LVM</t>
        </is>
      </c>
      <c r="C635" s="10">
        <f>HYPERLINK("https://www.ibm.com/docs/en/storage-ceph/9.9.1?topic=osds-replacing-pre-created-lvm","https://www.ibm.com/docs/en/storage-ceph/9.9.1?topic=osds-replacing-pre-created-lvm")</f>
        <v/>
      </c>
    </row>
    <row r="636" ht="18" customHeight="1">
      <c r="A636" s="8" t="inlineStr">
        <is>
          <t>16.2.6.11</t>
        </is>
      </c>
      <c r="B636" s="9" t="inlineStr">
        <is>
          <t xml:space="preserve">      Replacing the OSDs in a non-colocated scenario</t>
        </is>
      </c>
      <c r="C636" s="10">
        <f>HYPERLINK("https://www.ibm.com/docs/en/storage-ceph/9.9.1?topic=osds-replacing-in-non-colocated-scenario","https://www.ibm.com/docs/en/storage-ceph/9.9.1?topic=osds-replacing-in-non-colocated-scenario")</f>
        <v/>
      </c>
    </row>
    <row r="637" ht="18" customHeight="1">
      <c r="A637" s="8" t="inlineStr">
        <is>
          <t>16.2.6.12</t>
        </is>
      </c>
      <c r="B637" s="9" t="inlineStr">
        <is>
          <t xml:space="preserve">      Stopping the removal of the OSDs</t>
        </is>
      </c>
      <c r="C637" s="10">
        <f>HYPERLINK("https://www.ibm.com/docs/en/storage-ceph/9.9.1?topic=osds-stopping-removal","https://www.ibm.com/docs/en/storage-ceph/9.9.1?topic=osds-stopping-removal")</f>
        <v/>
      </c>
    </row>
    <row r="638" ht="18" customHeight="1">
      <c r="A638" s="8" t="inlineStr">
        <is>
          <t>16.2.6.13</t>
        </is>
      </c>
      <c r="B638" s="9" t="inlineStr">
        <is>
          <t xml:space="preserve">      Activating the OSDs</t>
        </is>
      </c>
      <c r="C638" s="10">
        <f>HYPERLINK("https://www.ibm.com/docs/en/storage-ceph/9.9.1?topic=osds-activating","https://www.ibm.com/docs/en/storage-ceph/9.9.1?topic=osds-activating")</f>
        <v/>
      </c>
    </row>
    <row r="639" ht="18" customHeight="1">
      <c r="A639" s="8" t="inlineStr">
        <is>
          <t>16.2.6.13.1</t>
        </is>
      </c>
      <c r="B639" s="9" t="inlineStr">
        <is>
          <t xml:space="preserve">        Observing the data migration</t>
        </is>
      </c>
      <c r="C639" s="10">
        <f>HYPERLINK("https://www.ibm.com/docs/en/storage-ceph/9.9.1?topic=osds-observing-data-migration","https://www.ibm.com/docs/en/storage-ceph/9.9.1?topic=osds-observing-data-migration")</f>
        <v/>
      </c>
    </row>
    <row r="640" ht="18" customHeight="1">
      <c r="A640" s="8" t="inlineStr">
        <is>
          <t>16.2.6.14</t>
        </is>
      </c>
      <c r="B640" s="9" t="inlineStr">
        <is>
          <t xml:space="preserve">      Recalculating the placement groups</t>
        </is>
      </c>
      <c r="C640" s="10">
        <f>HYPERLINK("https://www.ibm.com/docs/en/storage-ceph/9.9.1?topic=osds-recalculating-placement-groups","https://www.ibm.com/docs/en/storage-ceph/9.9.1?topic=osds-recalculating-placement-groups")</f>
        <v/>
      </c>
    </row>
    <row r="641" ht="18" customHeight="1">
      <c r="A641" s="8" t="inlineStr">
        <is>
          <t>16.2.6.15</t>
        </is>
      </c>
      <c r="B641" s="9" t="inlineStr">
        <is>
          <t xml:space="preserve">      Checking whether OSDs are safe to upgrade</t>
        </is>
      </c>
      <c r="C641" s="10">
        <f>HYPERLINK("https://www.ibm.com/docs/en/storage-ceph/9.9.1?topic=osds-checking-whether-are-safe-upgrade","https://www.ibm.com/docs/en/storage-ceph/9.9.1?topic=osds-checking-whether-are-safe-upgrade")</f>
        <v/>
      </c>
    </row>
    <row r="642" ht="18" customHeight="1">
      <c r="A642" s="8" t="inlineStr">
        <is>
          <t>16.2.7</t>
        </is>
      </c>
      <c r="B642" s="9" t="inlineStr">
        <is>
          <t xml:space="preserve">    Managing the monitoring stack</t>
        </is>
      </c>
      <c r="C642" s="10">
        <f>HYPERLINK("https://www.ibm.com/docs/en/storage-ceph/9.9.1?topic=operations-managing-monitoring-stack","https://www.ibm.com/docs/en/storage-ceph/9.9.1?topic=operations-managing-monitoring-stack")</f>
        <v/>
      </c>
    </row>
    <row r="643" ht="18" customHeight="1">
      <c r="A643" s="8" t="inlineStr">
        <is>
          <t>16.2.7.1</t>
        </is>
      </c>
      <c r="B643" s="9" t="inlineStr">
        <is>
          <t xml:space="preserve">      Deploying the monitoring stack</t>
        </is>
      </c>
      <c r="C643" s="10">
        <f>HYPERLINK("https://www.ibm.com/docs/en/storage-ceph/9.9.1?topic=stack-deploying-monitoring","https://www.ibm.com/docs/en/storage-ceph/9.9.1?topic=stack-deploying-monitoring")</f>
        <v/>
      </c>
    </row>
    <row r="644" ht="18" customHeight="1">
      <c r="A644" s="8" t="inlineStr">
        <is>
          <t>16.2.7.2</t>
        </is>
      </c>
      <c r="B644" s="9" t="inlineStr">
        <is>
          <t xml:space="preserve">      Removing the monitoring stack</t>
        </is>
      </c>
      <c r="C644" s="10">
        <f>HYPERLINK("https://www.ibm.com/docs/en/storage-ceph/9.9.1?topic=stack-removing-monitoring","https://www.ibm.com/docs/en/storage-ceph/9.9.1?topic=stack-removing-monitoring")</f>
        <v/>
      </c>
    </row>
    <row r="645" ht="18" customHeight="1">
      <c r="A645" s="8" t="inlineStr">
        <is>
          <t>16.2.8</t>
        </is>
      </c>
      <c r="B645" s="9" t="inlineStr">
        <is>
          <t xml:space="preserve">    Basic client setup</t>
        </is>
      </c>
      <c r="C645" s="10">
        <f>HYPERLINK("https://www.ibm.com/docs/en/storage-ceph/9.9.1?topic=operations-basic-client-setup","https://www.ibm.com/docs/en/storage-ceph/9.9.1?topic=operations-basic-client-setup")</f>
        <v/>
      </c>
    </row>
    <row r="646" ht="18" customHeight="1">
      <c r="A646" s="8" t="inlineStr">
        <is>
          <t>16.2.8.1</t>
        </is>
      </c>
      <c r="B646" s="9" t="inlineStr">
        <is>
          <t xml:space="preserve">      Configuring file setup on client machines</t>
        </is>
      </c>
      <c r="C646" s="10">
        <f>HYPERLINK("https://www.ibm.com/docs/en/storage-ceph/9.9.1?topic=setup-configuring-file-client-machines","https://www.ibm.com/docs/en/storage-ceph/9.9.1?topic=setup-configuring-file-client-machines")</f>
        <v/>
      </c>
    </row>
    <row r="647" ht="18" customHeight="1">
      <c r="A647" s="8" t="inlineStr">
        <is>
          <t>16.2.8.2</t>
        </is>
      </c>
      <c r="B647" s="9" t="inlineStr">
        <is>
          <t xml:space="preserve">      Setting-up keyring on client machines</t>
        </is>
      </c>
      <c r="C647" s="10">
        <f>HYPERLINK("https://www.ibm.com/docs/en/storage-ceph/9.9.1?topic=setup-setting-up-keyring-client-machines","https://www.ibm.com/docs/en/storage-ceph/9.9.1?topic=setup-setting-up-keyring-client-machines")</f>
        <v/>
      </c>
    </row>
    <row r="648" ht="18" customHeight="1">
      <c r="A648" s="8" t="inlineStr">
        <is>
          <t>16.2.9</t>
        </is>
      </c>
      <c r="B648" s="9" t="inlineStr">
        <is>
          <t xml:space="preserve">    Managing the MDS service using the Ceph Orchestrator</t>
        </is>
      </c>
      <c r="C648" s="10">
        <f>HYPERLINK("https://www.ibm.com/docs/en/storage-ceph/9.9.1?topic=operations-managing-mds-service-using-ceph-orchestrator","https://www.ibm.com/docs/en/storage-ceph/9.9.1?topic=operations-managing-mds-service-using-ceph-orchestrator")</f>
        <v/>
      </c>
    </row>
    <row r="649" ht="18" customHeight="1">
      <c r="A649" s="8" t="inlineStr">
        <is>
          <t>16.2.9.1</t>
        </is>
      </c>
      <c r="B649" s="9" t="inlineStr">
        <is>
          <t xml:space="preserve">      Deploying the MDS service with the command-line interface</t>
        </is>
      </c>
      <c r="C649" s="10">
        <f>HYPERLINK("https://www.ibm.com/docs/en/storage-ceph/9.9.1?topic=orchestrator-deploying-mds-service-command-line-interface","https://www.ibm.com/docs/en/storage-ceph/9.9.1?topic=orchestrator-deploying-mds-service-command-line-interface")</f>
        <v/>
      </c>
    </row>
    <row r="650" ht="18" customHeight="1">
      <c r="A650" s="8" t="inlineStr">
        <is>
          <t>16.2.9.2</t>
        </is>
      </c>
      <c r="B650" s="9" t="inlineStr">
        <is>
          <t xml:space="preserve">      Deploying the MDS service using the service specification</t>
        </is>
      </c>
      <c r="C650" s="10">
        <f>HYPERLINK("https://www.ibm.com/docs/en/storage-ceph/9.9.1?topic=orchestrator-deploying-mds-service-using-service-specification","https://www.ibm.com/docs/en/storage-ceph/9.9.1?topic=orchestrator-deploying-mds-service-using-service-specification")</f>
        <v/>
      </c>
    </row>
    <row r="651" ht="18" customHeight="1">
      <c r="A651" s="8" t="inlineStr">
        <is>
          <t>16.2.9.3</t>
        </is>
      </c>
      <c r="B651" s="9" t="inlineStr">
        <is>
          <t xml:space="preserve">      Removing the MDS service using the Ceph Orchestrator</t>
        </is>
      </c>
      <c r="C651" s="10">
        <f>HYPERLINK("https://www.ibm.com/docs/en/storage-ceph/9.9.1?topic=orchestrator-removing-mds-service-using-ceph","https://www.ibm.com/docs/en/storage-ceph/9.9.1?topic=orchestrator-removing-mds-service-using-ceph")</f>
        <v/>
      </c>
    </row>
    <row r="652" ht="18" customHeight="1">
      <c r="A652" s="8" t="inlineStr">
        <is>
          <t>16.2.10</t>
        </is>
      </c>
      <c r="B652" s="9" t="inlineStr">
        <is>
          <t xml:space="preserve">    Managing the Ceph Object Gateway</t>
        </is>
      </c>
      <c r="C652" s="10">
        <f>HYPERLINK("https://www.ibm.com/docs/en/storage-ceph/9.9.1?topic=operations-managing-ceph-object-gateway","https://www.ibm.com/docs/en/storage-ceph/9.9.1?topic=operations-managing-ceph-object-gateway")</f>
        <v/>
      </c>
    </row>
    <row r="653" ht="18" customHeight="1">
      <c r="A653" s="8" t="inlineStr">
        <is>
          <t>16.2.10.1</t>
        </is>
      </c>
      <c r="B653" s="9" t="inlineStr">
        <is>
          <t xml:space="preserve">      Deploying the Ceph Object Gateway using the command line interface</t>
        </is>
      </c>
      <c r="C653" s="10">
        <f>HYPERLINK("https://www.ibm.com/docs/en/storage-ceph/9.9.1?topic=mcog-deploying-ceph-object-gateway-using-command-line-interface","https://www.ibm.com/docs/en/storage-ceph/9.9.1?topic=mcog-deploying-ceph-object-gateway-using-command-line-interface")</f>
        <v/>
      </c>
    </row>
    <row r="654" ht="18" customHeight="1">
      <c r="A654" s="8" t="inlineStr">
        <is>
          <t>16.2.10.2</t>
        </is>
      </c>
      <c r="B654" s="9" t="inlineStr">
        <is>
          <t xml:space="preserve">      Deploying the Ceph Object Gateway using the service specification</t>
        </is>
      </c>
      <c r="C654" s="10">
        <f>HYPERLINK("https://www.ibm.com/docs/en/storage-ceph/9.9.1?topic=gateway-deploying-ceph-object-using-service-specification","https://www.ibm.com/docs/en/storage-ceph/9.9.1?topic=gateway-deploying-ceph-object-using-service-specification")</f>
        <v/>
      </c>
    </row>
    <row r="655" ht="18" customHeight="1">
      <c r="A655" s="8" t="inlineStr">
        <is>
          <t>16.2.10.3</t>
        </is>
      </c>
      <c r="B655" s="9" t="inlineStr">
        <is>
          <t xml:space="preserve">      Deploying a multi-site Ceph Object Gateway</t>
        </is>
      </c>
      <c r="C655" s="10">
        <f>HYPERLINK("https://www.ibm.com/docs/en/storage-ceph/9.9.1?topic=gateway-deploying-multi-site-ceph-object","https://www.ibm.com/docs/en/storage-ceph/9.9.1?topic=gateway-deploying-multi-site-ceph-object")</f>
        <v/>
      </c>
    </row>
    <row r="656" ht="18" customHeight="1">
      <c r="A656" s="8" t="inlineStr">
        <is>
          <t>16.2.10.4</t>
        </is>
      </c>
      <c r="B656" s="9" t="inlineStr">
        <is>
          <t xml:space="preserve">      Removing the Ceph Object Gateway</t>
        </is>
      </c>
      <c r="C656" s="10">
        <f>HYPERLINK("https://www.ibm.com/docs/en/storage-ceph/9.9.1?topic=gateway-removing-ceph-object","https://www.ibm.com/docs/en/storage-ceph/9.9.1?topic=gateway-removing-ceph-object")</f>
        <v/>
      </c>
    </row>
    <row r="657" ht="18" customHeight="1">
      <c r="A657" s="8" t="inlineStr">
        <is>
          <t>16.2.11</t>
        </is>
      </c>
      <c r="B657" s="9" t="inlineStr">
        <is>
          <t xml:space="preserve">    Managing the NFS service gateway using the Ceph orchestrator</t>
        </is>
      </c>
      <c r="C657" s="10">
        <f>HYPERLINK("https://www.ibm.com/docs/en/storage-ceph/9.9.1?topic=operations-managing-nfs-service-gateway-using-ceph-orchestrator","https://www.ibm.com/docs/en/storage-ceph/9.9.1?topic=operations-managing-nfs-service-gateway-using-ceph-orchestrator")</f>
        <v/>
      </c>
    </row>
    <row r="658" ht="18" customHeight="1">
      <c r="A658" s="8" t="inlineStr">
        <is>
          <t>16.2.11.1</t>
        </is>
      </c>
      <c r="B658" s="9" t="inlineStr">
        <is>
          <t xml:space="preserve">      Creating the NFS service cluster</t>
        </is>
      </c>
      <c r="C658" s="10">
        <f>HYPERLINK("https://www.ibm.com/docs/en/storage-ceph/9.9.1?topic=orchestrator-creating-nfs-service-cluster","https://www.ibm.com/docs/en/storage-ceph/9.9.1?topic=orchestrator-creating-nfs-service-cluster")</f>
        <v/>
      </c>
    </row>
    <row r="659" ht="18" customHeight="1">
      <c r="A659" s="8" t="inlineStr">
        <is>
          <t>16.2.11.2</t>
        </is>
      </c>
      <c r="B659" s="9" t="inlineStr">
        <is>
          <t xml:space="preserve">      Deploying the NFS service gateway using the command line interface</t>
        </is>
      </c>
      <c r="C659" s="10">
        <f>HYPERLINK("https://www.ibm.com/docs/en/storage-ceph/9.9.1?topic=mnsguco-deploying-nfs-service-gateway-using-command-line-interface","https://www.ibm.com/docs/en/storage-ceph/9.9.1?topic=mnsguco-deploying-nfs-service-gateway-using-command-line-interface")</f>
        <v/>
      </c>
    </row>
    <row r="660" ht="18" customHeight="1">
      <c r="A660" s="8" t="inlineStr">
        <is>
          <t>16.2.11.3</t>
        </is>
      </c>
      <c r="B660" s="9" t="inlineStr">
        <is>
          <t xml:space="preserve">      Deploying the NFS service gateway using the service specification</t>
        </is>
      </c>
      <c r="C660" s="10">
        <f>HYPERLINK("https://www.ibm.com/docs/en/storage-ceph/9.9.1?topic=orchestrator-deploying-nfs-service-gateway-using-service-specification","https://www.ibm.com/docs/en/storage-ceph/9.9.1?topic=orchestrator-deploying-nfs-service-gateway-using-service-specification")</f>
        <v/>
      </c>
    </row>
    <row r="661" ht="18" customHeight="1">
      <c r="A661" s="8" t="inlineStr">
        <is>
          <t>16.2.11.4</t>
        </is>
      </c>
      <c r="B661" s="9" t="inlineStr">
        <is>
          <t xml:space="preserve">      High availability for NFS services</t>
        </is>
      </c>
      <c r="C661" s="10">
        <f>HYPERLINK("https://www.ibm.com/docs/en/storage-ceph/9.9.1?topic=orchestrator-high-availability-nfs-services","https://www.ibm.com/docs/en/storage-ceph/9.9.1?topic=orchestrator-high-availability-nfs-services")</f>
        <v/>
      </c>
    </row>
    <row r="662" ht="18" customHeight="1">
      <c r="A662" s="8" t="inlineStr">
        <is>
          <t>16.2.11.4.1</t>
        </is>
      </c>
      <c r="B662" s="9" t="inlineStr">
        <is>
          <t xml:space="preserve">        High availability for NFS services with active-passive servers</t>
        </is>
      </c>
      <c r="C662" s="10">
        <f>HYPERLINK("https://www.ibm.com/docs/en/storage-ceph/9.9.1?topic=services-high-availability-nfs-active-passive-servers","https://www.ibm.com/docs/en/storage-ceph/9.9.1?topic=services-high-availability-nfs-active-passive-servers")</f>
        <v/>
      </c>
    </row>
    <row r="663" ht="18" customHeight="1">
      <c r="A663" s="8" t="inlineStr">
        <is>
          <t>16.2.11.4.2</t>
        </is>
      </c>
      <c r="B663" s="9" t="inlineStr">
        <is>
          <t xml:space="preserve">        Configure active-passive NFS gateway</t>
        </is>
      </c>
      <c r="C663" s="10">
        <f>HYPERLINK("https://www.ibm.com/docs/en/storage-ceph/9.9.1?topic=services-configure-active-passive-nfs-gateway","https://www.ibm.com/docs/en/storage-ceph/9.9.1?topic=services-configure-active-passive-nfs-gateway")</f>
        <v/>
      </c>
    </row>
    <row r="664" ht="18" customHeight="1">
      <c r="A664" s="8" t="inlineStr">
        <is>
          <t>16.2.11.5</t>
        </is>
      </c>
      <c r="B664" s="9" t="inlineStr">
        <is>
          <t xml:space="preserve">      High availability for NFS services with HAProxy and multi-active servers</t>
        </is>
      </c>
      <c r="C664" s="10">
        <f>HYPERLINK("https://www.ibm.com/docs/en/storage-ceph/9.9.1?topic=mnsguco-high-availability-nfs-services-haproxy-multi-active-servers","https://www.ibm.com/docs/en/storage-ceph/9.9.1?topic=mnsguco-high-availability-nfs-services-haproxy-multi-active-servers")</f>
        <v/>
      </c>
    </row>
    <row r="665" ht="18" customHeight="1">
      <c r="A665" s="8" t="inlineStr">
        <is>
          <t>16.2.11.5.1</t>
        </is>
      </c>
      <c r="B665" s="9" t="inlineStr">
        <is>
          <t xml:space="preserve">        Configuring high availability for NFS service</t>
        </is>
      </c>
      <c r="C665" s="10">
        <f>HYPERLINK("https://www.ibm.com/docs/en/storage-ceph/9.9.1?topic=servers-configuring-high-availability-nfs-service","https://www.ibm.com/docs/en/storage-ceph/9.9.1?topic=servers-configuring-high-availability-nfs-service")</f>
        <v/>
      </c>
    </row>
    <row r="666" ht="18" customHeight="1">
      <c r="A666" s="8" t="inlineStr">
        <is>
          <t>16.2.11.5.2</t>
        </is>
      </c>
      <c r="B666" s="9" t="inlineStr">
        <is>
          <t xml:space="preserve">        Configure multi-active NFS gateway</t>
        </is>
      </c>
      <c r="C666" s="10">
        <f>HYPERLINK("https://www.ibm.com/docs/en/storage-ceph/9.9.1?topic=servers-configure-multi-active-nfs-gateway","https://www.ibm.com/docs/en/storage-ceph/9.9.1?topic=servers-configure-multi-active-nfs-gateway")</f>
        <v/>
      </c>
    </row>
    <row r="667" ht="18" customHeight="1">
      <c r="A667" s="8" t="inlineStr">
        <is>
          <t>16.2.11.5.2.1</t>
        </is>
      </c>
      <c r="B667" s="9" t="inlineStr">
        <is>
          <t xml:space="preserve">          Placing a host running multi-active NFS daemons into maintenance mode</t>
        </is>
      </c>
      <c r="C667" s="10">
        <f>HYPERLINK("https://www.ibm.com/docs/en/storage-ceph/9.9.1?topic=cmang-placing-host-running-multi-active-nfs-daemons-into-maintenance-mode","https://www.ibm.com/docs/en/storage-ceph/9.9.1?topic=cmang-placing-host-running-multi-active-nfs-daemons-into-maintenance-mode")</f>
        <v/>
      </c>
    </row>
    <row r="668" ht="18" customHeight="1">
      <c r="A668" s="8" t="inlineStr">
        <is>
          <t>16.2.11.5.3</t>
        </is>
      </c>
      <c r="B668" s="9" t="inlineStr">
        <is>
          <t xml:space="preserve">        Removing HAProxy from an NFS configuration</t>
        </is>
      </c>
      <c r="C668" s="10">
        <f>HYPERLINK("https://www.ibm.com/docs/en/storage-ceph/9.9.1?topic=servers-removing-haproxy-from-nfs-configuration","https://www.ibm.com/docs/en/storage-ceph/9.9.1?topic=servers-removing-haproxy-from-nfs-configuration")</f>
        <v/>
      </c>
    </row>
    <row r="669" ht="18" customHeight="1">
      <c r="A669" s="8" t="inlineStr">
        <is>
          <t>16.2.11.6</t>
        </is>
      </c>
      <c r="B669" s="9" t="inlineStr">
        <is>
          <t xml:space="preserve">      Updating the NFS service cluster</t>
        </is>
      </c>
      <c r="C669" s="10">
        <f>HYPERLINK("https://www.ibm.com/docs/en/storage-ceph/9.9.1?topic=orchestrator-updating-nfs-service-cluster","https://www.ibm.com/docs/en/storage-ceph/9.9.1?topic=orchestrator-updating-nfs-service-cluster")</f>
        <v/>
      </c>
    </row>
    <row r="670" ht="18" customHeight="1">
      <c r="A670" s="8" t="inlineStr">
        <is>
          <t>16.2.11.7</t>
        </is>
      </c>
      <c r="B670" s="9" t="inlineStr">
        <is>
          <t xml:space="preserve">      Viewing the NFS service cluster information</t>
        </is>
      </c>
      <c r="C670" s="10">
        <f>HYPERLINK("https://www.ibm.com/docs/en/storage-ceph/9.9.1?topic=orchestrator-viewing-nfs-service-cluster-information","https://www.ibm.com/docs/en/storage-ceph/9.9.1?topic=orchestrator-viewing-nfs-service-cluster-information")</f>
        <v/>
      </c>
    </row>
    <row r="671" ht="18" customHeight="1">
      <c r="A671" s="8" t="inlineStr">
        <is>
          <t>16.2.11.8</t>
        </is>
      </c>
      <c r="B671" s="9" t="inlineStr">
        <is>
          <t xml:space="preserve">      Fetching the NFS service cluster logs</t>
        </is>
      </c>
      <c r="C671" s="10">
        <f>HYPERLINK("https://www.ibm.com/docs/en/storage-ceph/9.9.1?topic=orchestrator-fetching-nfs-service-cluster-logs","https://www.ibm.com/docs/en/storage-ceph/9.9.1?topic=orchestrator-fetching-nfs-service-cluster-logs")</f>
        <v/>
      </c>
    </row>
    <row r="672" ht="18" customHeight="1">
      <c r="A672" s="8" t="inlineStr">
        <is>
          <t>16.2.11.9</t>
        </is>
      </c>
      <c r="B672" s="9" t="inlineStr">
        <is>
          <t xml:space="preserve">      Setting custom NFS service configuration</t>
        </is>
      </c>
      <c r="C672" s="10">
        <f>HYPERLINK("https://www.ibm.com/docs/en/storage-ceph/9.9.1?topic=orchestrator-setting-custom-nfs-service-configuration","https://www.ibm.com/docs/en/storage-ceph/9.9.1?topic=orchestrator-setting-custom-nfs-service-configuration")</f>
        <v/>
      </c>
    </row>
    <row r="673" ht="18" customHeight="1">
      <c r="A673" s="8" t="inlineStr">
        <is>
          <t>16.2.11.10</t>
        </is>
      </c>
      <c r="B673" s="9" t="inlineStr">
        <is>
          <t xml:space="preserve">      Resetting custom NFS service configuration</t>
        </is>
      </c>
      <c r="C673" s="10">
        <f>HYPERLINK("https://www.ibm.com/docs/en/storage-ceph/9.9.1?topic=orchestrator-resetting-custom-nfs-service-configuration","https://www.ibm.com/docs/en/storage-ceph/9.9.1?topic=orchestrator-resetting-custom-nfs-service-configuration")</f>
        <v/>
      </c>
    </row>
    <row r="674" ht="18" customHeight="1">
      <c r="A674" s="8" t="inlineStr">
        <is>
          <t>16.2.11.11</t>
        </is>
      </c>
      <c r="B674" s="9" t="inlineStr">
        <is>
          <t xml:space="preserve">      Deleting the NFS service cluster</t>
        </is>
      </c>
      <c r="C674" s="10">
        <f>HYPERLINK("https://www.ibm.com/docs/en/storage-ceph/9.9.1?topic=orchestrator-deleting-nfs-service-cluster","https://www.ibm.com/docs/en/storage-ceph/9.9.1?topic=orchestrator-deleting-nfs-service-cluster")</f>
        <v/>
      </c>
    </row>
    <row r="675" ht="18" customHeight="1">
      <c r="A675" s="8" t="inlineStr">
        <is>
          <t>16.2.11.12</t>
        </is>
      </c>
      <c r="B675" s="9" t="inlineStr">
        <is>
          <t xml:space="preserve">      Removing the NFS service gateway</t>
        </is>
      </c>
      <c r="C675" s="10">
        <f>HYPERLINK("https://www.ibm.com/docs/en/storage-ceph/9.9.1?topic=orchestrator-removing-nfs-service-gateway","https://www.ibm.com/docs/en/storage-ceph/9.9.1?topic=orchestrator-removing-nfs-service-gateway")</f>
        <v/>
      </c>
    </row>
    <row r="676" ht="18" customHeight="1">
      <c r="A676" s="8" t="inlineStr">
        <is>
          <t>16.2.11.13</t>
        </is>
      </c>
      <c r="B676" s="9" t="inlineStr">
        <is>
          <t xml:space="preserve">      Kerberos integration</t>
        </is>
      </c>
      <c r="C676" s="10">
        <f>HYPERLINK("https://www.ibm.com/docs/en/storage-ceph/9.9.1?topic=orchestrator-kerberos-integration","https://www.ibm.com/docs/en/storage-ceph/9.9.1?topic=orchestrator-kerberos-integration")</f>
        <v/>
      </c>
    </row>
    <row r="677" ht="18" customHeight="1">
      <c r="A677" s="8" t="inlineStr">
        <is>
          <t>16.2.11.13.1</t>
        </is>
      </c>
      <c r="B677" s="9" t="inlineStr">
        <is>
          <t xml:space="preserve">        Setting up the KDC (as per requirement)</t>
        </is>
      </c>
      <c r="C677" s="10">
        <f>HYPERLINK("https://www.ibm.com/docs/en/storage-ceph/9.9.1?topic=integration-setting-up-kdc-as-per-requirement","https://www.ibm.com/docs/en/storage-ceph/9.9.1?topic=integration-setting-up-kdc-as-per-requirement")</f>
        <v/>
      </c>
    </row>
    <row r="678" ht="18" customHeight="1">
      <c r="A678" s="8" t="inlineStr">
        <is>
          <t>16.2.11.13.2</t>
        </is>
      </c>
      <c r="B678" s="9" t="inlineStr">
        <is>
          <t xml:space="preserve">        Setting up the Kerberos client</t>
        </is>
      </c>
      <c r="C678" s="10">
        <f>HYPERLINK("https://www.ibm.com/docs/en/storage-ceph/9.9.1?topic=integration-setting-up-kerberos-client","https://www.ibm.com/docs/en/storage-ceph/9.9.1?topic=integration-setting-up-kerberos-client")</f>
        <v/>
      </c>
    </row>
    <row r="679" ht="18" customHeight="1">
      <c r="A679" s="8" t="inlineStr">
        <is>
          <t>16.2.11.13.3</t>
        </is>
      </c>
      <c r="B679" s="9" t="inlineStr">
        <is>
          <t xml:space="preserve">        NFS specific Kerberos setup</t>
        </is>
      </c>
      <c r="C679" s="10">
        <f>HYPERLINK("https://www.ibm.com/docs/en/storage-ceph/9.9.1?topic=integration-nfs-specific-kerberos-setup","https://www.ibm.com/docs/en/storage-ceph/9.9.1?topic=integration-nfs-specific-kerberos-setup")</f>
        <v/>
      </c>
    </row>
    <row r="680" ht="18" customHeight="1">
      <c r="A680" s="8" t="inlineStr">
        <is>
          <t>16.2.11.13.4</t>
        </is>
      </c>
      <c r="B680" s="9" t="inlineStr">
        <is>
          <t xml:space="preserve">        NFS service container settings</t>
        </is>
      </c>
      <c r="C680" s="10">
        <f>HYPERLINK("https://www.ibm.com/docs/en/storage-ceph/9.9.1?topic=integration-nfs-service-container-settings","https://www.ibm.com/docs/en/storage-ceph/9.9.1?topic=integration-nfs-service-container-settings")</f>
        <v/>
      </c>
    </row>
    <row r="681" ht="18" customHeight="1">
      <c r="A681" s="8" t="inlineStr">
        <is>
          <t>16.2.11.13.5</t>
        </is>
      </c>
      <c r="B681" s="9" t="inlineStr">
        <is>
          <t xml:space="preserve">        NFS Client side actions</t>
        </is>
      </c>
      <c r="C681" s="10">
        <f>HYPERLINK("https://www.ibm.com/docs/en/storage-ceph/9.9.1?topic=integration-nfs-client-side-actions","https://www.ibm.com/docs/en/storage-ceph/9.9.1?topic=integration-nfs-client-side-actions")</f>
        <v/>
      </c>
    </row>
    <row r="682" ht="18" customHeight="1">
      <c r="A682" s="8" t="inlineStr">
        <is>
          <t>16.2.11.13.6</t>
        </is>
      </c>
      <c r="B682" s="9" t="inlineStr">
        <is>
          <t xml:space="preserve">        Validating the setup</t>
        </is>
      </c>
      <c r="C682" s="10">
        <f>HYPERLINK("https://www.ibm.com/docs/en/storage-ceph/9.9.1?topic=integration-validating-setup","https://www.ibm.com/docs/en/storage-ceph/9.9.1?topic=integration-validating-setup")</f>
        <v/>
      </c>
    </row>
    <row r="683" ht="18" customHeight="1">
      <c r="A683" s="8" t="inlineStr">
        <is>
          <t>16.2.12</t>
        </is>
      </c>
      <c r="B683" s="9" t="inlineStr">
        <is>
          <t xml:space="preserve">    Handling a node failure</t>
        </is>
      </c>
      <c r="C683" s="10">
        <f>HYPERLINK("https://www.ibm.com/docs/en/storage-ceph/9.9.1?topic=operations-handling-node-failure","https://www.ibm.com/docs/en/storage-ceph/9.9.1?topic=operations-handling-node-failure")</f>
        <v/>
      </c>
    </row>
    <row r="684" ht="18" customHeight="1">
      <c r="A684" s="8" t="inlineStr">
        <is>
          <t>16.2.12.1</t>
        </is>
      </c>
      <c r="B684" s="9" t="inlineStr">
        <is>
          <t xml:space="preserve">      Considerations before adding or removing a node</t>
        </is>
      </c>
      <c r="C684" s="10">
        <f>HYPERLINK("https://www.ibm.com/docs/en/storage-ceph/9.9.1?topic=failure-considerations-before-adding-removing-node","https://www.ibm.com/docs/en/storage-ceph/9.9.1?topic=failure-considerations-before-adding-removing-node")</f>
        <v/>
      </c>
    </row>
    <row r="685" ht="18" customHeight="1">
      <c r="A685" s="8" t="inlineStr">
        <is>
          <t>16.2.12.2</t>
        </is>
      </c>
      <c r="B685" s="9" t="inlineStr">
        <is>
          <t xml:space="preserve">      Workflow for replacing a node</t>
        </is>
      </c>
      <c r="C685" s="10">
        <f>HYPERLINK("https://www.ibm.com/docs/en/storage-ceph/9.9.1?topic=failure-workflow-replacing-node","https://www.ibm.com/docs/en/storage-ceph/9.9.1?topic=failure-workflow-replacing-node")</f>
        <v/>
      </c>
    </row>
    <row r="686" ht="18" customHeight="1">
      <c r="A686" s="8" t="inlineStr">
        <is>
          <t>16.2.12.2.1</t>
        </is>
      </c>
      <c r="B686" s="9" t="inlineStr">
        <is>
          <t xml:space="preserve">        Replacing the node by using the root and Ceph OSD disks from the failed node</t>
        </is>
      </c>
      <c r="C686" s="10">
        <f>HYPERLINK("https://www.ibm.com/docs/en/storage-ceph/9.9.1?topic=wrn-replacing-node-by-using-root-ceph-osd-disks-from-failed-node","https://www.ibm.com/docs/en/storage-ceph/9.9.1?topic=wrn-replacing-node-by-using-root-ceph-osd-disks-from-failed-node")</f>
        <v/>
      </c>
    </row>
    <row r="687" ht="18" customHeight="1">
      <c r="A687" s="8" t="inlineStr">
        <is>
          <t>16.2.12.2.2</t>
        </is>
      </c>
      <c r="B687" s="9" t="inlineStr">
        <is>
          <t xml:space="preserve">        Replacing the node by reinstalling the operating system and using the Ceph OSD disks from the failed node</t>
        </is>
      </c>
      <c r="C687" s="10">
        <f>HYPERLINK("https://www.ibm.com/docs/en/storage-ceph/9.9.1?topic=wrn-replacing-node-by-reinstalling-operating-system-using-ceph-osd-disks-from-failed-node","https://www.ibm.com/docs/en/storage-ceph/9.9.1?topic=wrn-replacing-node-by-reinstalling-operating-system-using-ceph-osd-disks-from-failed-node")</f>
        <v/>
      </c>
    </row>
    <row r="688" ht="18" customHeight="1">
      <c r="A688" s="8" t="inlineStr">
        <is>
          <t>16.2.12.2.3</t>
        </is>
      </c>
      <c r="B688" s="9" t="inlineStr">
        <is>
          <t xml:space="preserve">        Replacing the node by reinstalling the operating system and using all new Ceph OSD disks</t>
        </is>
      </c>
      <c r="C688" s="10">
        <f>HYPERLINK("https://www.ibm.com/docs/en/storage-ceph/9.9.1?topic=wrn-replacing-node-by-reinstalling-operating-system-using-all-new-ceph-osd-disks","https://www.ibm.com/docs/en/storage-ceph/9.9.1?topic=wrn-replacing-node-by-reinstalling-operating-system-using-all-new-ceph-osd-disks")</f>
        <v/>
      </c>
    </row>
    <row r="689" ht="18" customHeight="1">
      <c r="A689" s="8" t="inlineStr">
        <is>
          <t>16.2.12.3</t>
        </is>
      </c>
      <c r="B689" s="9" t="inlineStr">
        <is>
          <t xml:space="preserve">      Performance considerations</t>
        </is>
      </c>
      <c r="C689" s="10">
        <f>HYPERLINK("https://www.ibm.com/docs/en/storage-ceph/9.9.1?topic=failure-performance-considerations","https://www.ibm.com/docs/en/storage-ceph/9.9.1?topic=failure-performance-considerations")</f>
        <v/>
      </c>
    </row>
    <row r="690" ht="18" customHeight="1">
      <c r="A690" s="8" t="inlineStr">
        <is>
          <t>16.2.12.4</t>
        </is>
      </c>
      <c r="B690" s="9" t="inlineStr">
        <is>
          <t xml:space="preserve">      Recommendations for adding or removing nodes</t>
        </is>
      </c>
      <c r="C690" s="10">
        <f>HYPERLINK("https://www.ibm.com/docs/en/storage-ceph/9.9.1?topic=failure-recommendations-adding-removing-nodes","https://www.ibm.com/docs/en/storage-ceph/9.9.1?topic=failure-recommendations-adding-removing-nodes")</f>
        <v/>
      </c>
    </row>
    <row r="691" ht="18" customHeight="1">
      <c r="A691" s="8" t="inlineStr">
        <is>
          <t>16.2.12.5</t>
        </is>
      </c>
      <c r="B691" s="9" t="inlineStr">
        <is>
          <t xml:space="preserve">      Adding a Ceph OSD node</t>
        </is>
      </c>
      <c r="C691" s="10">
        <f>HYPERLINK("https://www.ibm.com/docs/en/storage-ceph/9.9.1?topic=failure-adding-ceph-osd-node","https://www.ibm.com/docs/en/storage-ceph/9.9.1?topic=failure-adding-ceph-osd-node")</f>
        <v/>
      </c>
    </row>
    <row r="692" ht="18" customHeight="1">
      <c r="A692" s="8" t="inlineStr">
        <is>
          <t>16.2.12.6</t>
        </is>
      </c>
      <c r="B692" s="9" t="inlineStr">
        <is>
          <t xml:space="preserve">      Removing a Ceph OSD node</t>
        </is>
      </c>
      <c r="C692" s="10">
        <f>HYPERLINK("https://www.ibm.com/docs/en/storage-ceph/9.9.1?topic=failure-removing-ceph-osd-node","https://www.ibm.com/docs/en/storage-ceph/9.9.1?topic=failure-removing-ceph-osd-node")</f>
        <v/>
      </c>
    </row>
    <row r="693" ht="18" customHeight="1">
      <c r="A693" s="8" t="inlineStr">
        <is>
          <t>16.2.12.7</t>
        </is>
      </c>
      <c r="B693" s="9" t="inlineStr">
        <is>
          <t xml:space="preserve">      Simulating a node failure</t>
        </is>
      </c>
      <c r="C693" s="10">
        <f>HYPERLINK("https://www.ibm.com/docs/en/storage-ceph/9.9.1?topic=failure-simulating-node","https://www.ibm.com/docs/en/storage-ceph/9.9.1?topic=failure-simulating-node")</f>
        <v/>
      </c>
    </row>
    <row r="694" ht="18" customHeight="1">
      <c r="A694" s="8" t="inlineStr">
        <is>
          <t>16.2.13</t>
        </is>
      </c>
      <c r="B694" s="9" t="inlineStr">
        <is>
          <t xml:space="preserve">    Configuring SNMP traps</t>
        </is>
      </c>
      <c r="C694" s="10">
        <f>HYPERLINK("https://www.ibm.com/docs/en/storage-ceph/9.9.1?topic=operations-configuring-snmp-traps","https://www.ibm.com/docs/en/storage-ceph/9.9.1?topic=operations-configuring-snmp-traps")</f>
        <v/>
      </c>
    </row>
    <row r="695" ht="18" customHeight="1">
      <c r="A695" s="8" t="inlineStr">
        <is>
          <t>16.2.13.1</t>
        </is>
      </c>
      <c r="B695" s="9" t="inlineStr">
        <is>
          <t xml:space="preserve">      Simple network management protocol</t>
        </is>
      </c>
      <c r="C695" s="10">
        <f>HYPERLINK("https://www.ibm.com/docs/en/storage-ceph/9.9.1?topic=traps-simple-network-management-protocol","https://www.ibm.com/docs/en/storage-ceph/9.9.1?topic=traps-simple-network-management-protocol")</f>
        <v/>
      </c>
    </row>
    <row r="696" ht="18" customHeight="1">
      <c r="A696" s="8" t="inlineStr">
        <is>
          <t>16.2.13.2</t>
        </is>
      </c>
      <c r="B696" s="9" t="inlineStr">
        <is>
          <t xml:space="preserve">      Configuring snmptrapd</t>
        </is>
      </c>
      <c r="C696" s="10">
        <f>HYPERLINK("https://www.ibm.com/docs/en/storage-ceph/9.9.1?topic=traps-configuring-snmptrapd","https://www.ibm.com/docs/en/storage-ceph/9.9.1?topic=traps-configuring-snmptrapd")</f>
        <v/>
      </c>
    </row>
    <row r="697" ht="18" customHeight="1">
      <c r="A697" s="8" t="inlineStr">
        <is>
          <t>16.2.13.3</t>
        </is>
      </c>
      <c r="B697" s="9" t="inlineStr">
        <is>
          <t xml:space="preserve">      Deploying the SNMP gateway</t>
        </is>
      </c>
      <c r="C697" s="10">
        <f>HYPERLINK("https://www.ibm.com/docs/en/storage-ceph/9.9.1?topic=traps-deploying-snmp-gateway","https://www.ibm.com/docs/en/storage-ceph/9.9.1?topic=traps-deploying-snmp-gateway")</f>
        <v/>
      </c>
    </row>
    <row r="698" ht="18" customHeight="1">
      <c r="A698" s="8" t="inlineStr">
        <is>
          <t>16.2.14</t>
        </is>
      </c>
      <c r="B698" s="9" t="inlineStr">
        <is>
          <t xml:space="preserve">    Handling a data center failure</t>
        </is>
      </c>
      <c r="C698" s="10">
        <f>HYPERLINK("https://www.ibm.com/docs/en/storage-ceph/9.9.1?topic=operations-handling-data-center-failure","https://www.ibm.com/docs/en/storage-ceph/9.9.1?topic=operations-handling-data-center-failure")</f>
        <v/>
      </c>
    </row>
    <row r="699" ht="18" customHeight="1">
      <c r="A699" s="8" t="inlineStr">
        <is>
          <t>16.2.14.1</t>
        </is>
      </c>
      <c r="B699" s="9" t="inlineStr">
        <is>
          <t xml:space="preserve">      Avoiding a data center failure</t>
        </is>
      </c>
      <c r="C699" s="10">
        <f>HYPERLINK("https://www.ibm.com/docs/en/storage-ceph/9.9.1?topic=failure-avoiding-data-center","https://www.ibm.com/docs/en/storage-ceph/9.9.1?topic=failure-avoiding-data-center")</f>
        <v/>
      </c>
    </row>
    <row r="700" ht="18" customHeight="1">
      <c r="A700" s="8" t="inlineStr">
        <is>
          <t>16.2.14.2</t>
        </is>
      </c>
      <c r="B700" s="9" t="inlineStr">
        <is>
          <t xml:space="preserve">      Handling a data center failure</t>
        </is>
      </c>
      <c r="C700" s="10">
        <f>HYPERLINK("https://www.ibm.com/docs/en/storage-ceph/9.9.1?topic=failure-handling-data-center","https://www.ibm.com/docs/en/storage-ceph/9.9.1?topic=failure-handling-data-center")</f>
        <v/>
      </c>
    </row>
    <row r="701" ht="18" customHeight="1">
      <c r="A701" s="8" t="inlineStr">
        <is>
          <t>16.2.15</t>
        </is>
      </c>
      <c r="B701" s="9" t="inlineStr">
        <is>
          <t xml:space="preserve">    Certificate management</t>
        </is>
      </c>
      <c r="C701" s="10">
        <f>HYPERLINK("https://www.ibm.com/docs/en/storage-ceph/9.9.1?topic=operations-certificate-management","https://www.ibm.com/docs/en/storage-ceph/9.9.1?topic=operations-certificate-management")</f>
        <v/>
      </c>
    </row>
    <row r="702" ht="18" customHeight="1">
      <c r="A702" s="8" t="inlineStr">
        <is>
          <t>16.2.15.1</t>
        </is>
      </c>
      <c r="B702" s="9" t="inlineStr">
        <is>
          <t xml:space="preserve">      Manage certificates with certmgr</t>
        </is>
      </c>
      <c r="C702" s="10">
        <f>HYPERLINK("https://www.ibm.com/docs/en/storage-ceph/9.9.1?topic=management-manage-certificates-certmgr","https://www.ibm.com/docs/en/storage-ceph/9.9.1?topic=management-manage-certificates-certmgr")</f>
        <v/>
      </c>
    </row>
    <row r="703" ht="18" customHeight="1">
      <c r="A703" s="2" t="inlineStr">
        <is>
          <t>17</t>
        </is>
      </c>
      <c r="B703" s="3" t="inlineStr">
        <is>
          <t>Dashboard</t>
        </is>
      </c>
      <c r="C703" s="4">
        <f>HYPERLINK("https://www.ibm.com/docs/en/storage-ceph/9.9.1?topic=dashboard","https://www.ibm.com/docs/en/storage-ceph/9.9.1?topic=dashboard")</f>
        <v/>
      </c>
    </row>
    <row r="704" ht="18" customHeight="1">
      <c r="A704" s="5" t="inlineStr">
        <is>
          <t>17.1</t>
        </is>
      </c>
      <c r="B704" s="6" t="inlineStr">
        <is>
          <t xml:space="preserve">  Components</t>
        </is>
      </c>
      <c r="C704" s="7">
        <f>HYPERLINK("https://www.ibm.com/docs/en/storage-ceph/9.9.1?topic=dashboard-components","https://www.ibm.com/docs/en/storage-ceph/9.9.1?topic=dashboard-components")</f>
        <v/>
      </c>
    </row>
    <row r="705" ht="18" customHeight="1">
      <c r="A705" s="5" t="inlineStr">
        <is>
          <t>17.2</t>
        </is>
      </c>
      <c r="B705" s="6" t="inlineStr">
        <is>
          <t xml:space="preserve">  Architecture</t>
        </is>
      </c>
      <c r="C705" s="7">
        <f>HYPERLINK("https://www.ibm.com/docs/en/storage-ceph/9.9.1?topic=dashboard-architecture","https://www.ibm.com/docs/en/storage-ceph/9.9.1?topic=dashboard-architecture")</f>
        <v/>
      </c>
    </row>
    <row r="706" ht="18" customHeight="1">
      <c r="A706" s="5" t="inlineStr">
        <is>
          <t>17.3</t>
        </is>
      </c>
      <c r="B706" s="6" t="inlineStr">
        <is>
          <t xml:space="preserve">  Accessing the Ceph dashboard after bootstrap</t>
        </is>
      </c>
      <c r="C706" s="7">
        <f>HYPERLINK("https://www.ibm.com/docs/en/storage-ceph/9.9.1?topic=dashboard-accessing-ceph-after-bootstrap","https://www.ibm.com/docs/en/storage-ceph/9.9.1?topic=dashboard-accessing-ceph-after-bootstrap")</f>
        <v/>
      </c>
    </row>
    <row r="707" ht="18" customHeight="1">
      <c r="A707" s="8" t="inlineStr">
        <is>
          <t>17.3.1</t>
        </is>
      </c>
      <c r="B707" s="9" t="inlineStr">
        <is>
          <t xml:space="preserve">    Understanding the landing page of the Ceph dashboard</t>
        </is>
      </c>
      <c r="C707" s="10">
        <f>HYPERLINK("https://www.ibm.com/docs/en/storage-ceph/9.9.1?topic=bootstrap-understanding-landing-page-ceph-dashboard","https://www.ibm.com/docs/en/storage-ceph/9.9.1?topic=bootstrap-understanding-landing-page-ceph-dashboard")</f>
        <v/>
      </c>
    </row>
    <row r="708" ht="18" customHeight="1">
      <c r="A708" s="5" t="inlineStr">
        <is>
          <t>17.4</t>
        </is>
      </c>
      <c r="B708" s="6" t="inlineStr">
        <is>
          <t xml:space="preserve">  Configuring the Dashboard</t>
        </is>
      </c>
      <c r="C708" s="7">
        <f>HYPERLINK("https://www.ibm.com/docs/en/storage-ceph/9.9.1?topic=dashboard-configuring","https://www.ibm.com/docs/en/storage-ceph/9.9.1?topic=dashboard-configuring")</f>
        <v/>
      </c>
    </row>
    <row r="709" ht="18" customHeight="1">
      <c r="A709" s="8" t="inlineStr">
        <is>
          <t>17.4.1</t>
        </is>
      </c>
      <c r="B709" s="9" t="inlineStr">
        <is>
          <t xml:space="preserve">    Enabling IBM Storage Ceph Dashboard manually</t>
        </is>
      </c>
      <c r="C709" s="10">
        <f>HYPERLINK("https://www.ibm.com/docs/en/storage-ceph/9.9.1?topic=dashboard-enabling-storage-ceph-manually","https://www.ibm.com/docs/en/storage-ceph/9.9.1?topic=dashboard-enabling-storage-ceph-manually")</f>
        <v/>
      </c>
    </row>
    <row r="710" ht="18" customHeight="1">
      <c r="A710" s="8" t="inlineStr">
        <is>
          <t>17.4.2</t>
        </is>
      </c>
      <c r="B710" s="9" t="inlineStr">
        <is>
          <t xml:space="preserve">    Setting message of the day (MOTD)</t>
        </is>
      </c>
      <c r="C710" s="10">
        <f>HYPERLINK("https://www.ibm.com/docs/en/storage-ceph/9.9.1?topic=dashboard-setting-message-day-motd","https://www.ibm.com/docs/en/storage-ceph/9.9.1?topic=dashboard-setting-message-day-motd")</f>
        <v/>
      </c>
    </row>
    <row r="711" ht="18" customHeight="1">
      <c r="A711" s="8" t="inlineStr">
        <is>
          <t>17.4.3</t>
        </is>
      </c>
      <c r="B711" s="9" t="inlineStr">
        <is>
          <t xml:space="preserve">    Toggling Ceph dashboard features</t>
        </is>
      </c>
      <c r="C711" s="10">
        <f>HYPERLINK("https://www.ibm.com/docs/en/storage-ceph/9.9.1?topic=dashboard-toggling-ceph-features","https://www.ibm.com/docs/en/storage-ceph/9.9.1?topic=dashboard-toggling-ceph-features")</f>
        <v/>
      </c>
    </row>
    <row r="712" ht="18" customHeight="1">
      <c r="A712" s="8" t="inlineStr">
        <is>
          <t>17.4.4</t>
        </is>
      </c>
      <c r="B712" s="9" t="inlineStr">
        <is>
          <t xml:space="preserve">    Changing the dashboard password</t>
        </is>
      </c>
      <c r="C712" s="10">
        <f>HYPERLINK("https://www.ibm.com/docs/en/storage-ceph/9.9.1?topic=dashboard-changing-password","https://www.ibm.com/docs/en/storage-ceph/9.9.1?topic=dashboard-changing-password")</f>
        <v/>
      </c>
    </row>
    <row r="713" ht="18" customHeight="1">
      <c r="A713" s="8" t="inlineStr">
        <is>
          <t>17.4.5</t>
        </is>
      </c>
      <c r="B713" s="9" t="inlineStr">
        <is>
          <t xml:space="preserve">    Changing the Ceph dashboard password using the command line interface</t>
        </is>
      </c>
      <c r="C713" s="10">
        <f>HYPERLINK("https://www.ibm.com/docs/en/storage-ceph/9.9.1?topic=cd-changing-ceph-dashboard-password-using-command-line-interface","https://www.ibm.com/docs/en/storage-ceph/9.9.1?topic=cd-changing-ceph-dashboard-password-using-command-line-interface")</f>
        <v/>
      </c>
    </row>
    <row r="714" ht="18" customHeight="1">
      <c r="A714" s="8" t="inlineStr">
        <is>
          <t>17.4.6</t>
        </is>
      </c>
      <c r="B714" s="9" t="inlineStr">
        <is>
          <t xml:space="preserve">    Setting admin user password for Grafana</t>
        </is>
      </c>
      <c r="C714" s="10">
        <f>HYPERLINK("https://www.ibm.com/docs/en/storage-ceph/9.9.1?topic=dashboard-settingadminuser-password-grafana","https://www.ibm.com/docs/en/storage-ceph/9.9.1?topic=dashboard-settingadminuser-password-grafana")</f>
        <v/>
      </c>
    </row>
    <row r="715" ht="18" customHeight="1">
      <c r="A715" s="8" t="inlineStr">
        <is>
          <t>17.4.7</t>
        </is>
      </c>
      <c r="B715" s="9" t="inlineStr">
        <is>
          <t xml:space="preserve">    Configuring Prometheus data retention</t>
        </is>
      </c>
      <c r="C715" s="10">
        <f>HYPERLINK("https://www.ibm.com/docs/en/storage-ceph/9.9.1?topic=dashboard-configuring-prometheus-data-retention","https://www.ibm.com/docs/en/storage-ceph/9.9.1?topic=dashboard-configuring-prometheus-data-retention")</f>
        <v/>
      </c>
    </row>
    <row r="716" ht="18" customHeight="1">
      <c r="A716" s="8" t="inlineStr">
        <is>
          <t>17.4.8</t>
        </is>
      </c>
      <c r="B716" s="9" t="inlineStr">
        <is>
          <t xml:space="preserve">    Expanding the cluster</t>
        </is>
      </c>
      <c r="C716" s="10">
        <f>HYPERLINK("https://www.ibm.com/docs/en/storage-ceph/9.9.1?topic=dashboard-expanding-cluster","https://www.ibm.com/docs/en/storage-ceph/9.9.1?topic=dashboard-expanding-cluster")</f>
        <v/>
      </c>
    </row>
    <row r="717" ht="18" customHeight="1">
      <c r="A717" s="8" t="inlineStr">
        <is>
          <t>17.4.9</t>
        </is>
      </c>
      <c r="B717" s="9" t="inlineStr">
        <is>
          <t xml:space="preserve">    Upgrading a cluster</t>
        </is>
      </c>
      <c r="C717" s="10">
        <f>HYPERLINK("https://www.ibm.com/docs/en/storage-ceph/9.9.1?topic=dashboard-upgrading-cluster","https://www.ibm.com/docs/en/storage-ceph/9.9.1?topic=dashboard-upgrading-cluster")</f>
        <v/>
      </c>
    </row>
    <row r="718" ht="18" customHeight="1">
      <c r="A718" s="5" t="inlineStr">
        <is>
          <t>17.5</t>
        </is>
      </c>
      <c r="B718" s="6" t="inlineStr">
        <is>
          <t xml:space="preserve">  Managing access and single sign-on with the dashboard</t>
        </is>
      </c>
      <c r="C718" s="7">
        <f>HYPERLINK("https://www.ibm.com/docs/en/storage-ceph/9.9.1?topic=dashboard-managing-access-single-sign","https://www.ibm.com/docs/en/storage-ceph/9.9.1?topic=dashboard-managing-access-single-sign")</f>
        <v/>
      </c>
    </row>
    <row r="719" ht="18" customHeight="1">
      <c r="A719" s="8" t="inlineStr">
        <is>
          <t>17.5.1</t>
        </is>
      </c>
      <c r="B719" s="9" t="inlineStr">
        <is>
          <t xml:space="preserve">    Creating an admin account for syncing users to the Ceph dashboard</t>
        </is>
      </c>
      <c r="C719" s="10">
        <f>HYPERLINK("https://www.ibm.com/docs/en/storage-ceph/9.9.1?topic=dashboard-creating-admin-account-syncing-users-ceph","https://www.ibm.com/docs/en/storage-ceph/9.9.1?topic=dashboard-creating-admin-account-syncing-users-ceph")</f>
        <v/>
      </c>
    </row>
    <row r="720" ht="18" customHeight="1">
      <c r="A720" s="8" t="inlineStr">
        <is>
          <t>17.5.2</t>
        </is>
      </c>
      <c r="B720" s="9" t="inlineStr">
        <is>
          <t xml:space="preserve">    Syncing users from Red Hat Sign-On to the Ceph dashboard</t>
        </is>
      </c>
      <c r="C720" s="10">
        <f>HYPERLINK("https://www.ibm.com/docs/en/storage-ceph/9.9.1?topic=massd-syncing-users-from-red-hat-sign-ceph-dashboard","https://www.ibm.com/docs/en/storage-ceph/9.9.1?topic=massd-syncing-users-from-red-hat-sign-ceph-dashboard")</f>
        <v/>
      </c>
    </row>
    <row r="721" ht="18" customHeight="1">
      <c r="A721" s="8" t="inlineStr">
        <is>
          <t>17.5.3</t>
        </is>
      </c>
      <c r="B721" s="9" t="inlineStr">
        <is>
          <t xml:space="preserve">    Enabling single sign-on with SAML 2.0</t>
        </is>
      </c>
      <c r="C721" s="10">
        <f>HYPERLINK("https://www.ibm.com/docs/en/storage-ceph/9.9.1?topic=dashboard-enabling-single-sign-saml-20","https://www.ibm.com/docs/en/storage-ceph/9.9.1?topic=dashboard-enabling-single-sign-saml-20")</f>
        <v/>
      </c>
    </row>
    <row r="722" ht="18" customHeight="1">
      <c r="A722" s="8" t="inlineStr">
        <is>
          <t>17.5.4</t>
        </is>
      </c>
      <c r="B722" s="9" t="inlineStr">
        <is>
          <t xml:space="preserve">    Configuring Red Hat SSO as the identity provider using OAuth2 Protocol</t>
        </is>
      </c>
      <c r="C722" s="10">
        <f>HYPERLINK("https://www.ibm.com/docs/en/storage-ceph/9.9.1?topic=massd-configuring-red-hat-sso-as-identity-provider-using-oauth2-protocol","https://www.ibm.com/docs/en/storage-ceph/9.9.1?topic=massd-configuring-red-hat-sso-as-identity-provider-using-oauth2-protocol")</f>
        <v/>
      </c>
    </row>
    <row r="723" ht="18" customHeight="1">
      <c r="A723" s="8" t="inlineStr">
        <is>
          <t>17.5.5</t>
        </is>
      </c>
      <c r="B723" s="9" t="inlineStr">
        <is>
          <t xml:space="preserve">    Configuring IBM Security Verify as the identity provider using OAuth2 protocol</t>
        </is>
      </c>
      <c r="C723" s="10">
        <f>HYPERLINK("https://www.ibm.com/docs/en/storage-ceph/9.9.1?topic=massd-configuring-security-verify-as-identity-provider-using-oauth2-protocol","https://www.ibm.com/docs/en/storage-ceph/9.9.1?topic=massd-configuring-security-verify-as-identity-provider-using-oauth2-protocol")</f>
        <v/>
      </c>
    </row>
    <row r="724" ht="18" customHeight="1">
      <c r="A724" s="8" t="inlineStr">
        <is>
          <t>17.5.6</t>
        </is>
      </c>
      <c r="B724" s="9" t="inlineStr">
        <is>
          <t xml:space="preserve">    Enabling OAuth2 single sign-on</t>
        </is>
      </c>
      <c r="C724" s="10">
        <f>HYPERLINK("https://www.ibm.com/docs/en/storage-ceph/9.9.1?topic=dashboard-enabling-oauth2-single-sign","https://www.ibm.com/docs/en/storage-ceph/9.9.1?topic=dashboard-enabling-oauth2-single-sign")</f>
        <v/>
      </c>
    </row>
    <row r="725" ht="18" customHeight="1">
      <c r="A725" s="8" t="inlineStr">
        <is>
          <t>17.5.7</t>
        </is>
      </c>
      <c r="B725" s="9" t="inlineStr">
        <is>
          <t xml:space="preserve">    Disabling single sign-on for the Ceph Dashboard</t>
        </is>
      </c>
      <c r="C725" s="10">
        <f>HYPERLINK("https://www.ibm.com/docs/en/storage-ceph/9.9.1?topic=dashboard-disabling-single-sign-ceph","https://www.ibm.com/docs/en/storage-ceph/9.9.1?topic=dashboard-disabling-single-sign-ceph")</f>
        <v/>
      </c>
    </row>
    <row r="726" ht="18" customHeight="1">
      <c r="A726" s="5" t="inlineStr">
        <is>
          <t>17.6</t>
        </is>
      </c>
      <c r="B726" s="6" t="inlineStr">
        <is>
          <t xml:space="preserve">  Managing roles</t>
        </is>
      </c>
      <c r="C726" s="7">
        <f>HYPERLINK("https://www.ibm.com/docs/en/storage-ceph/9.9.1?topic=dashboard-managing-roles","https://www.ibm.com/docs/en/storage-ceph/9.9.1?topic=dashboard-managing-roles")</f>
        <v/>
      </c>
    </row>
    <row r="727" ht="18" customHeight="1">
      <c r="A727" s="8" t="inlineStr">
        <is>
          <t>17.6.1</t>
        </is>
      </c>
      <c r="B727" s="9" t="inlineStr">
        <is>
          <t xml:space="preserve">    User roles and permissions</t>
        </is>
      </c>
      <c r="C727" s="10">
        <f>HYPERLINK("https://www.ibm.com/docs/en/storage-ceph/9.9.1?topic=roles-user-permissions","https://www.ibm.com/docs/en/storage-ceph/9.9.1?topic=roles-user-permissions")</f>
        <v/>
      </c>
    </row>
    <row r="728" ht="18" customHeight="1">
      <c r="A728" s="8" t="inlineStr">
        <is>
          <t>17.6.2</t>
        </is>
      </c>
      <c r="B728" s="9" t="inlineStr">
        <is>
          <t xml:space="preserve">    Creating roles</t>
        </is>
      </c>
      <c r="C728" s="10">
        <f>HYPERLINK("https://www.ibm.com/docs/en/storage-ceph/9.9.1?topic=roles-creating","https://www.ibm.com/docs/en/storage-ceph/9.9.1?topic=roles-creating")</f>
        <v/>
      </c>
    </row>
    <row r="729" ht="18" customHeight="1">
      <c r="A729" s="8" t="inlineStr">
        <is>
          <t>17.6.3</t>
        </is>
      </c>
      <c r="B729" s="9" t="inlineStr">
        <is>
          <t xml:space="preserve">    Editing roles</t>
        </is>
      </c>
      <c r="C729" s="10">
        <f>HYPERLINK("https://www.ibm.com/docs/en/storage-ceph/9.9.1?topic=roles-editing","https://www.ibm.com/docs/en/storage-ceph/9.9.1?topic=roles-editing")</f>
        <v/>
      </c>
    </row>
    <row r="730" ht="18" customHeight="1">
      <c r="A730" s="8" t="inlineStr">
        <is>
          <t>17.6.4</t>
        </is>
      </c>
      <c r="B730" s="9" t="inlineStr">
        <is>
          <t xml:space="preserve">    Cloning roles</t>
        </is>
      </c>
      <c r="C730" s="10">
        <f>HYPERLINK("https://www.ibm.com/docs/en/storage-ceph/9.9.1?topic=roles-cloning","https://www.ibm.com/docs/en/storage-ceph/9.9.1?topic=roles-cloning")</f>
        <v/>
      </c>
    </row>
    <row r="731" ht="18" customHeight="1">
      <c r="A731" s="8" t="inlineStr">
        <is>
          <t>17.6.5</t>
        </is>
      </c>
      <c r="B731" s="9" t="inlineStr">
        <is>
          <t xml:space="preserve">    Deleting roles</t>
        </is>
      </c>
      <c r="C731" s="10">
        <f>HYPERLINK("https://www.ibm.com/docs/en/storage-ceph/9.9.1?topic=roles-deleting","https://www.ibm.com/docs/en/storage-ceph/9.9.1?topic=roles-deleting")</f>
        <v/>
      </c>
    </row>
    <row r="732" ht="18" customHeight="1">
      <c r="A732" s="5" t="inlineStr">
        <is>
          <t>17.7</t>
        </is>
      </c>
      <c r="B732" s="6" t="inlineStr">
        <is>
          <t xml:space="preserve">  Managing users</t>
        </is>
      </c>
      <c r="C732" s="7">
        <f>HYPERLINK("https://www.ibm.com/docs/en/storage-ceph/9.9.1?topic=dashboard-managing-users","https://www.ibm.com/docs/en/storage-ceph/9.9.1?topic=dashboard-managing-users")</f>
        <v/>
      </c>
    </row>
    <row r="733" ht="18" customHeight="1">
      <c r="A733" s="8" t="inlineStr">
        <is>
          <t>17.7.1</t>
        </is>
      </c>
      <c r="B733" s="9" t="inlineStr">
        <is>
          <t xml:space="preserve">    Creating users</t>
        </is>
      </c>
      <c r="C733" s="10">
        <f>HYPERLINK("https://www.ibm.com/docs/en/storage-ceph/9.9.1?topic=users-creating","https://www.ibm.com/docs/en/storage-ceph/9.9.1?topic=users-creating")</f>
        <v/>
      </c>
    </row>
    <row r="734" ht="18" customHeight="1">
      <c r="A734" s="8" t="inlineStr">
        <is>
          <t>17.7.2</t>
        </is>
      </c>
      <c r="B734" s="9" t="inlineStr">
        <is>
          <t xml:space="preserve">    Editing users</t>
        </is>
      </c>
      <c r="C734" s="10">
        <f>HYPERLINK("https://www.ibm.com/docs/en/storage-ceph/9.9.1?topic=users-editing","https://www.ibm.com/docs/en/storage-ceph/9.9.1?topic=users-editing")</f>
        <v/>
      </c>
    </row>
    <row r="735" ht="18" customHeight="1">
      <c r="A735" s="8" t="inlineStr">
        <is>
          <t>17.7.3</t>
        </is>
      </c>
      <c r="B735" s="9" t="inlineStr">
        <is>
          <t xml:space="preserve">    Deleting users</t>
        </is>
      </c>
      <c r="C735" s="10">
        <f>HYPERLINK("https://www.ibm.com/docs/en/storage-ceph/9.9.1?topic=users-deleting","https://www.ibm.com/docs/en/storage-ceph/9.9.1?topic=users-deleting")</f>
        <v/>
      </c>
    </row>
    <row r="736" ht="18" customHeight="1">
      <c r="A736" s="5" t="inlineStr">
        <is>
          <t>17.8</t>
        </is>
      </c>
      <c r="B736" s="6" t="inlineStr">
        <is>
          <t xml:space="preserve">  Managing user capabilities</t>
        </is>
      </c>
      <c r="C736" s="7">
        <f>HYPERLINK("https://www.ibm.com/docs/en/storage-ceph/9.9.1?topic=dashboard-managing-user-capabilities","https://www.ibm.com/docs/en/storage-ceph/9.9.1?topic=dashboard-managing-user-capabilities")</f>
        <v/>
      </c>
    </row>
    <row r="737" ht="18" customHeight="1">
      <c r="A737" s="8" t="inlineStr">
        <is>
          <t>17.8.1</t>
        </is>
      </c>
      <c r="B737" s="9" t="inlineStr">
        <is>
          <t xml:space="preserve">    Accessing capabilities</t>
        </is>
      </c>
      <c r="C737" s="10">
        <f>HYPERLINK("https://www.ibm.com/docs/en/storage-ceph/9.9.1?topic=capabilities-accessing","https://www.ibm.com/docs/en/storage-ceph/9.9.1?topic=capabilities-accessing")</f>
        <v/>
      </c>
    </row>
    <row r="738" ht="18" customHeight="1">
      <c r="A738" s="8" t="inlineStr">
        <is>
          <t>17.8.2</t>
        </is>
      </c>
      <c r="B738" s="9" t="inlineStr">
        <is>
          <t xml:space="preserve">    Creating user capabilities</t>
        </is>
      </c>
      <c r="C738" s="10">
        <f>HYPERLINK("https://www.ibm.com/docs/en/storage-ceph/9.9.1?topic=capabilities-creating-user","https://www.ibm.com/docs/en/storage-ceph/9.9.1?topic=capabilities-creating-user")</f>
        <v/>
      </c>
    </row>
    <row r="739" ht="18" customHeight="1">
      <c r="A739" s="8" t="inlineStr">
        <is>
          <t>17.8.3</t>
        </is>
      </c>
      <c r="B739" s="9" t="inlineStr">
        <is>
          <t xml:space="preserve">    Editing user capabilities</t>
        </is>
      </c>
      <c r="C739" s="10">
        <f>HYPERLINK("https://www.ibm.com/docs/en/storage-ceph/9.9.1?topic=capabilities-editing-user","https://www.ibm.com/docs/en/storage-ceph/9.9.1?topic=capabilities-editing-user")</f>
        <v/>
      </c>
    </row>
    <row r="740" ht="18" customHeight="1">
      <c r="A740" s="8" t="inlineStr">
        <is>
          <t>17.8.4</t>
        </is>
      </c>
      <c r="B740" s="9" t="inlineStr">
        <is>
          <t xml:space="preserve">    Importing user capabilities</t>
        </is>
      </c>
      <c r="C740" s="10">
        <f>HYPERLINK("https://www.ibm.com/docs/en/storage-ceph/9.9.1?topic=capabilities-importing-user","https://www.ibm.com/docs/en/storage-ceph/9.9.1?topic=capabilities-importing-user")</f>
        <v/>
      </c>
    </row>
    <row r="741" ht="18" customHeight="1">
      <c r="A741" s="8" t="inlineStr">
        <is>
          <t>17.8.5</t>
        </is>
      </c>
      <c r="B741" s="9" t="inlineStr">
        <is>
          <t xml:space="preserve">    Exporting user capabilities</t>
        </is>
      </c>
      <c r="C741" s="10">
        <f>HYPERLINK("https://www.ibm.com/docs/en/storage-ceph/9.9.1?topic=capabilities-exporting-user","https://www.ibm.com/docs/en/storage-ceph/9.9.1?topic=capabilities-exporting-user")</f>
        <v/>
      </c>
    </row>
    <row r="742" ht="18" customHeight="1">
      <c r="A742" s="8" t="inlineStr">
        <is>
          <t>17.8.6</t>
        </is>
      </c>
      <c r="B742" s="9" t="inlineStr">
        <is>
          <t xml:space="preserve">    Deleting user capabilities</t>
        </is>
      </c>
      <c r="C742" s="10">
        <f>HYPERLINK("https://www.ibm.com/docs/en/storage-ceph/9.9.1?topic=capabilities-deleting-user","https://www.ibm.com/docs/en/storage-ceph/9.9.1?topic=capabilities-deleting-user")</f>
        <v/>
      </c>
    </row>
    <row r="743" ht="18" customHeight="1">
      <c r="A743" s="5" t="inlineStr">
        <is>
          <t>17.9</t>
        </is>
      </c>
      <c r="B743" s="6" t="inlineStr">
        <is>
          <t xml:space="preserve">  Managing Ceph services</t>
        </is>
      </c>
      <c r="C743" s="7">
        <f>HYPERLINK("https://www.ibm.com/docs/en/storage-ceph/9.9.1?topic=dashboard-managing-ceph-services","https://www.ibm.com/docs/en/storage-ceph/9.9.1?topic=dashboard-managing-ceph-services")</f>
        <v/>
      </c>
    </row>
    <row r="744" ht="18" customHeight="1">
      <c r="A744" s="8" t="inlineStr">
        <is>
          <t>17.9.1</t>
        </is>
      </c>
      <c r="B744" s="9" t="inlineStr">
        <is>
          <t xml:space="preserve">    Running Ceph services</t>
        </is>
      </c>
      <c r="C744" s="10">
        <f>HYPERLINK("https://www.ibm.com/docs/en/storage-ceph/9.9.1?topic=services-running-ceph","https://www.ibm.com/docs/en/storage-ceph/9.9.1?topic=services-running-ceph")</f>
        <v/>
      </c>
    </row>
    <row r="745" ht="18" customHeight="1">
      <c r="A745" s="5" t="inlineStr">
        <is>
          <t>17.10</t>
        </is>
      </c>
      <c r="B745" s="6" t="inlineStr">
        <is>
          <t xml:space="preserve">  Managing hosts</t>
        </is>
      </c>
      <c r="C745" s="7">
        <f>HYPERLINK("https://www.ibm.com/docs/en/storage-ceph/9.9.1?topic=dashboard-managing-hosts","https://www.ibm.com/docs/en/storage-ceph/9.9.1?topic=dashboard-managing-hosts")</f>
        <v/>
      </c>
    </row>
    <row r="746" ht="18" customHeight="1">
      <c r="A746" s="8" t="inlineStr">
        <is>
          <t>17.10.1</t>
        </is>
      </c>
      <c r="B746" s="9" t="inlineStr">
        <is>
          <t xml:space="preserve">    Entering maintenance mode</t>
        </is>
      </c>
      <c r="C746" s="10">
        <f>HYPERLINK("https://www.ibm.com/docs/en/storage-ceph/9.9.1?topic=hosts-entering-maintenance-mode","https://www.ibm.com/docs/en/storage-ceph/9.9.1?topic=hosts-entering-maintenance-mode")</f>
        <v/>
      </c>
    </row>
    <row r="747" ht="18" customHeight="1">
      <c r="A747" s="8" t="inlineStr">
        <is>
          <t>17.10.2</t>
        </is>
      </c>
      <c r="B747" s="9" t="inlineStr">
        <is>
          <t xml:space="preserve">    Exiting maintenance mode</t>
        </is>
      </c>
      <c r="C747" s="10">
        <f>HYPERLINK("https://www.ibm.com/docs/en/storage-ceph/9.9.1?topic=hosts-exiting-maintenance-mode","https://www.ibm.com/docs/en/storage-ceph/9.9.1?topic=hosts-exiting-maintenance-mode")</f>
        <v/>
      </c>
    </row>
    <row r="748" ht="18" customHeight="1">
      <c r="A748" s="8" t="inlineStr">
        <is>
          <t>17.10.3</t>
        </is>
      </c>
      <c r="B748" s="9" t="inlineStr">
        <is>
          <t xml:space="preserve">    Removing hosts</t>
        </is>
      </c>
      <c r="C748" s="10">
        <f>HYPERLINK("https://www.ibm.com/docs/en/storage-ceph/9.9.1?topic=mh-removing-hosts","https://www.ibm.com/docs/en/storage-ceph/9.9.1?topic=mh-removing-hosts")</f>
        <v/>
      </c>
    </row>
    <row r="749" ht="18" customHeight="1">
      <c r="A749" s="5" t="inlineStr">
        <is>
          <t>17.11</t>
        </is>
      </c>
      <c r="B749" s="6" t="inlineStr">
        <is>
          <t xml:space="preserve">  Managing pools</t>
        </is>
      </c>
      <c r="C749" s="7">
        <f>HYPERLINK("https://www.ibm.com/docs/en/storage-ceph/9.9.1?topic=dashboard-managing-pools","https://www.ibm.com/docs/en/storage-ceph/9.9.1?topic=dashboard-managing-pools")</f>
        <v/>
      </c>
    </row>
    <row r="750" ht="18" customHeight="1">
      <c r="A750" s="8" t="inlineStr">
        <is>
          <t>17.11.1</t>
        </is>
      </c>
      <c r="B750" s="9" t="inlineStr">
        <is>
          <t xml:space="preserve">    Creating pools</t>
        </is>
      </c>
      <c r="C750" s="10">
        <f>HYPERLINK("https://www.ibm.com/docs/en/storage-ceph/9.9.1?topic=pools-creating","https://www.ibm.com/docs/en/storage-ceph/9.9.1?topic=pools-creating")</f>
        <v/>
      </c>
    </row>
    <row r="751" ht="18" customHeight="1">
      <c r="A751" s="8" t="inlineStr">
        <is>
          <t>17.11.2</t>
        </is>
      </c>
      <c r="B751" s="9" t="inlineStr">
        <is>
          <t xml:space="preserve">    Editing pools</t>
        </is>
      </c>
      <c r="C751" s="10">
        <f>HYPERLINK("https://www.ibm.com/docs/en/storage-ceph/9.9.1?topic=pools-editing","https://www.ibm.com/docs/en/storage-ceph/9.9.1?topic=pools-editing")</f>
        <v/>
      </c>
    </row>
    <row r="752" ht="18" customHeight="1">
      <c r="A752" s="8" t="inlineStr">
        <is>
          <t>17.11.3</t>
        </is>
      </c>
      <c r="B752" s="9" t="inlineStr">
        <is>
          <t xml:space="preserve">    Deleting pools</t>
        </is>
      </c>
      <c r="C752" s="10">
        <f>HYPERLINK("https://www.ibm.com/docs/en/storage-ceph/9.9.1?topic=pools-deleting","https://www.ibm.com/docs/en/storage-ceph/9.9.1?topic=pools-deleting")</f>
        <v/>
      </c>
    </row>
    <row r="753" ht="18" customHeight="1">
      <c r="A753" s="5" t="inlineStr">
        <is>
          <t>17.12</t>
        </is>
      </c>
      <c r="B753" s="6" t="inlineStr">
        <is>
          <t xml:space="preserve">  Managing Ceph OSDs</t>
        </is>
      </c>
      <c r="C753" s="7">
        <f>HYPERLINK("https://www.ibm.com/docs/en/storage-ceph/9.9.1?topic=dashboard-managing-ceph-osds","https://www.ibm.com/docs/en/storage-ceph/9.9.1?topic=dashboard-managing-ceph-osds")</f>
        <v/>
      </c>
    </row>
    <row r="754" ht="18" customHeight="1">
      <c r="A754" s="8" t="inlineStr">
        <is>
          <t>17.12.1</t>
        </is>
      </c>
      <c r="B754" s="9" t="inlineStr">
        <is>
          <t xml:space="preserve">    Managing the OSDs</t>
        </is>
      </c>
      <c r="C754" s="10">
        <f>HYPERLINK("https://www.ibm.com/docs/en/storage-ceph/9.9.1?topic=osds-managing","https://www.ibm.com/docs/en/storage-ceph/9.9.1?topic=osds-managing")</f>
        <v/>
      </c>
    </row>
    <row r="755" ht="18" customHeight="1">
      <c r="A755" s="8" t="inlineStr">
        <is>
          <t>17.12.2</t>
        </is>
      </c>
      <c r="B755" s="9" t="inlineStr">
        <is>
          <t xml:space="preserve">    Replacing the failed OSDs</t>
        </is>
      </c>
      <c r="C755" s="10">
        <f>HYPERLINK("https://www.ibm.com/docs/en/storage-ceph/9.9.1?topic=osds-replacing-failed","https://www.ibm.com/docs/en/storage-ceph/9.9.1?topic=osds-replacing-failed")</f>
        <v/>
      </c>
    </row>
    <row r="756" ht="18" customHeight="1">
      <c r="A756" s="5" t="inlineStr">
        <is>
          <t>17.13</t>
        </is>
      </c>
      <c r="B756" s="6" t="inlineStr">
        <is>
          <t xml:space="preserve">  Managing alerts</t>
        </is>
      </c>
      <c r="C756" s="7">
        <f>HYPERLINK("https://www.ibm.com/docs/en/storage-ceph/9.9.1?topic=dashboard-managing-alerts","https://www.ibm.com/docs/en/storage-ceph/9.9.1?topic=dashboard-managing-alerts")</f>
        <v/>
      </c>
    </row>
    <row r="757" ht="18" customHeight="1">
      <c r="A757" s="8" t="inlineStr">
        <is>
          <t>17.13.1</t>
        </is>
      </c>
      <c r="B757" s="9" t="inlineStr">
        <is>
          <t xml:space="preserve">    Enabling monitoring stack</t>
        </is>
      </c>
      <c r="C757" s="10">
        <f>HYPERLINK("https://www.ibm.com/docs/en/storage-ceph/9.9.1?topic=alerts-enabling-monitoring-stack","https://www.ibm.com/docs/en/storage-ceph/9.9.1?topic=alerts-enabling-monitoring-stack")</f>
        <v/>
      </c>
    </row>
    <row r="758" ht="18" customHeight="1">
      <c r="A758" s="8" t="inlineStr">
        <is>
          <t>17.13.2</t>
        </is>
      </c>
      <c r="B758" s="9" t="inlineStr">
        <is>
          <t xml:space="preserve">    Configuring a Grafana certificate</t>
        </is>
      </c>
      <c r="C758" s="10">
        <f>HYPERLINK("https://www.ibm.com/docs/en/storage-ceph/9.9.1?topic=alerts-configuring-grafana-certificate","https://www.ibm.com/docs/en/storage-ceph/9.9.1?topic=alerts-configuring-grafana-certificate")</f>
        <v/>
      </c>
    </row>
    <row r="759" ht="18" customHeight="1">
      <c r="A759" s="8" t="inlineStr">
        <is>
          <t>17.13.3</t>
        </is>
      </c>
      <c r="B759" s="9" t="inlineStr">
        <is>
          <t xml:space="preserve">    Adding Alertmanager webhooks</t>
        </is>
      </c>
      <c r="C759" s="10">
        <f>HYPERLINK("https://www.ibm.com/docs/en/storage-ceph/9.9.1?topic=alerts-adding-alertmanager-webhooks","https://www.ibm.com/docs/en/storage-ceph/9.9.1?topic=alerts-adding-alertmanager-webhooks")</f>
        <v/>
      </c>
    </row>
    <row r="760" ht="18" customHeight="1">
      <c r="A760" s="8" t="inlineStr">
        <is>
          <t>17.13.4</t>
        </is>
      </c>
      <c r="B760" s="9" t="inlineStr">
        <is>
          <t xml:space="preserve">    Viewing alerts</t>
        </is>
      </c>
      <c r="C760" s="10">
        <f>HYPERLINK("https://www.ibm.com/docs/en/storage-ceph/9.9.1?topic=alerts-viewing","https://www.ibm.com/docs/en/storage-ceph/9.9.1?topic=alerts-viewing")</f>
        <v/>
      </c>
    </row>
    <row r="761" ht="18" customHeight="1">
      <c r="A761" s="8" t="inlineStr">
        <is>
          <t>17.13.5</t>
        </is>
      </c>
      <c r="B761" s="9" t="inlineStr">
        <is>
          <t xml:space="preserve">    Creating a silence</t>
        </is>
      </c>
      <c r="C761" s="10">
        <f>HYPERLINK("https://www.ibm.com/docs/en/storage-ceph/9.9.1?topic=alerts-creating-silence","https://www.ibm.com/docs/en/storage-ceph/9.9.1?topic=alerts-creating-silence")</f>
        <v/>
      </c>
    </row>
    <row r="762" ht="18" customHeight="1">
      <c r="A762" s="8" t="inlineStr">
        <is>
          <t>17.13.6</t>
        </is>
      </c>
      <c r="B762" s="9" t="inlineStr">
        <is>
          <t xml:space="preserve">    Recreating a silence</t>
        </is>
      </c>
      <c r="C762" s="10">
        <f>HYPERLINK("https://www.ibm.com/docs/en/storage-ceph/9.9.1?topic=alerts-recreating-silence","https://www.ibm.com/docs/en/storage-ceph/9.9.1?topic=alerts-recreating-silence")</f>
        <v/>
      </c>
    </row>
    <row r="763" ht="18" customHeight="1">
      <c r="A763" s="8" t="inlineStr">
        <is>
          <t>17.13.7</t>
        </is>
      </c>
      <c r="B763" s="9" t="inlineStr">
        <is>
          <t xml:space="preserve">    Editing a silence</t>
        </is>
      </c>
      <c r="C763" s="10">
        <f>HYPERLINK("https://www.ibm.com/docs/en/storage-ceph/9.9.1?topic=alerts-editing-silence","https://www.ibm.com/docs/en/storage-ceph/9.9.1?topic=alerts-editing-silence")</f>
        <v/>
      </c>
    </row>
    <row r="764" ht="18" customHeight="1">
      <c r="A764" s="8" t="inlineStr">
        <is>
          <t>17.13.8</t>
        </is>
      </c>
      <c r="B764" s="9" t="inlineStr">
        <is>
          <t xml:space="preserve">    Expiring a silence</t>
        </is>
      </c>
      <c r="C764" s="10">
        <f>HYPERLINK("https://www.ibm.com/docs/en/storage-ceph/9.9.1?topic=alerts-expiring-silence","https://www.ibm.com/docs/en/storage-ceph/9.9.1?topic=alerts-expiring-silence")</f>
        <v/>
      </c>
    </row>
    <row r="765" ht="18" customHeight="1">
      <c r="A765" s="5" t="inlineStr">
        <is>
          <t>17.14</t>
        </is>
      </c>
      <c r="B765" s="6" t="inlineStr">
        <is>
          <t xml:space="preserve">  Managing NFS shares</t>
        </is>
      </c>
      <c r="C765" s="7">
        <f>HYPERLINK("https://www.ibm.com/docs/en/storage-ceph/9.9.1?topic=dashboard-managing-nfs-shares","https://www.ibm.com/docs/en/storage-ceph/9.9.1?topic=dashboard-managing-nfs-shares")</f>
        <v/>
      </c>
    </row>
    <row r="766" ht="18" customHeight="1">
      <c r="A766" s="8" t="inlineStr">
        <is>
          <t>17.14.1</t>
        </is>
      </c>
      <c r="B766" s="9" t="inlineStr">
        <is>
          <t xml:space="preserve">    Configuring NFS service daemons</t>
        </is>
      </c>
      <c r="C766" s="10">
        <f>HYPERLINK("https://www.ibm.com/docs/en/storage-ceph/9.9.1?topic=shares-configuring-nfs-service-daemons","https://www.ibm.com/docs/en/storage-ceph/9.9.1?topic=shares-configuring-nfs-service-daemons")</f>
        <v/>
      </c>
    </row>
    <row r="767" ht="18" customHeight="1">
      <c r="A767" s="8" t="inlineStr">
        <is>
          <t>17.14.2</t>
        </is>
      </c>
      <c r="B767" s="9" t="inlineStr">
        <is>
          <t xml:space="preserve">    Configuring NFS shares</t>
        </is>
      </c>
      <c r="C767" s="10">
        <f>HYPERLINK("https://www.ibm.com/docs/en/storage-ceph/9.9.1?topic=shares-configuring-nfs","https://www.ibm.com/docs/en/storage-ceph/9.9.1?topic=shares-configuring-nfs")</f>
        <v/>
      </c>
    </row>
    <row r="768" ht="18" customHeight="1">
      <c r="A768" s="8" t="inlineStr">
        <is>
          <t>17.14.3</t>
        </is>
      </c>
      <c r="B768" s="9" t="inlineStr">
        <is>
          <t xml:space="preserve">    Editing NFS shares</t>
        </is>
      </c>
      <c r="C768" s="10">
        <f>HYPERLINK("https://www.ibm.com/docs/en/storage-ceph/9.9.1?topic=shares-editing-nfs","https://www.ibm.com/docs/en/storage-ceph/9.9.1?topic=shares-editing-nfs")</f>
        <v/>
      </c>
    </row>
    <row r="769" ht="18" customHeight="1">
      <c r="A769" s="8" t="inlineStr">
        <is>
          <t>17.14.4</t>
        </is>
      </c>
      <c r="B769" s="9" t="inlineStr">
        <is>
          <t xml:space="preserve">    Deleting NFS shares</t>
        </is>
      </c>
      <c r="C769" s="10">
        <f>HYPERLINK("https://www.ibm.com/docs/en/storage-ceph/9.9.1?topic=shares-deleting-nfs","https://www.ibm.com/docs/en/storage-ceph/9.9.1?topic=shares-deleting-nfs")</f>
        <v/>
      </c>
    </row>
    <row r="770" ht="18" customHeight="1">
      <c r="A770" s="5" t="inlineStr">
        <is>
          <t>17.15</t>
        </is>
      </c>
      <c r="B770" s="6" t="inlineStr">
        <is>
          <t xml:space="preserve">  Rate-limiting in NFS</t>
        </is>
      </c>
      <c r="C770" s="7">
        <f>HYPERLINK("https://www.ibm.com/docs/en/storage-ceph/9.9.1?topic=dashboard-rate-limiting-in-nfs","https://www.ibm.com/docs/en/storage-ceph/9.9.1?topic=dashboard-rate-limiting-in-nfs")</f>
        <v/>
      </c>
    </row>
    <row r="771" ht="18" customHeight="1">
      <c r="A771" s="8" t="inlineStr">
        <is>
          <t>17.15.1</t>
        </is>
      </c>
      <c r="B771" s="9" t="inlineStr">
        <is>
          <t xml:space="preserve">    Managing bandwidth rate-limiting for NFS cluster</t>
        </is>
      </c>
      <c r="C771" s="10">
        <f>HYPERLINK("https://www.ibm.com/docs/en/storage-ceph/9.9.1?topic=nfs-managing-bandwidth-rate-limiting-cluster","https://www.ibm.com/docs/en/storage-ceph/9.9.1?topic=nfs-managing-bandwidth-rate-limiting-cluster")</f>
        <v/>
      </c>
    </row>
    <row r="772" ht="18" customHeight="1">
      <c r="A772" s="8" t="inlineStr">
        <is>
          <t>17.15.2</t>
        </is>
      </c>
      <c r="B772" s="9" t="inlineStr">
        <is>
          <t xml:space="preserve">    Managing bandwidth rate-limiting for NFS share</t>
        </is>
      </c>
      <c r="C772" s="10">
        <f>HYPERLINK("https://www.ibm.com/docs/en/storage-ceph/9.9.1?topic=nfs-managing-bandwidth-rate-limiting-share","https://www.ibm.com/docs/en/storage-ceph/9.9.1?topic=nfs-managing-bandwidth-rate-limiting-share")</f>
        <v/>
      </c>
    </row>
    <row r="773" ht="18" customHeight="1">
      <c r="A773" s="8" t="inlineStr">
        <is>
          <t>17.15.3</t>
        </is>
      </c>
      <c r="B773" s="9" t="inlineStr">
        <is>
          <t xml:space="preserve">    Managing input/output operations rate-limiting for NFS cluster</t>
        </is>
      </c>
      <c r="C773" s="10">
        <f>HYPERLINK("https://www.ibm.com/docs/en/storage-ceph/9.9.1?topic=nfs-managing-inputoutput-operations-rate-limiting-cluster","https://www.ibm.com/docs/en/storage-ceph/9.9.1?topic=nfs-managing-inputoutput-operations-rate-limiting-cluster")</f>
        <v/>
      </c>
    </row>
    <row r="774" ht="18" customHeight="1">
      <c r="A774" s="8" t="inlineStr">
        <is>
          <t>17.15.4</t>
        </is>
      </c>
      <c r="B774" s="9" t="inlineStr">
        <is>
          <t xml:space="preserve">    Managing input/output operations rate-limiting for NFS shares</t>
        </is>
      </c>
      <c r="C774" s="10">
        <f>HYPERLINK("https://www.ibm.com/docs/en/storage-ceph/9.9.1?topic=nfs-managing-inputoutput-operations-rate-limiting-shares","https://www.ibm.com/docs/en/storage-ceph/9.9.1?topic=nfs-managing-inputoutput-operations-rate-limiting-shares")</f>
        <v/>
      </c>
    </row>
    <row r="775" ht="18" customHeight="1">
      <c r="A775" s="5" t="inlineStr">
        <is>
          <t>17.16</t>
        </is>
      </c>
      <c r="B775" s="6" t="inlineStr">
        <is>
          <t xml:space="preserve">  Managing SMB service, shares, and clusters</t>
        </is>
      </c>
      <c r="C775" s="7">
        <f>HYPERLINK("https://www.ibm.com/docs/en/storage-ceph/9.9.1?topic=dashboard-managing-smb-service-shares-clusters","https://www.ibm.com/docs/en/storage-ceph/9.9.1?topic=dashboard-managing-smb-service-shares-clusters")</f>
        <v/>
      </c>
    </row>
    <row r="776" ht="18" customHeight="1">
      <c r="A776" s="8" t="inlineStr">
        <is>
          <t>17.16.1</t>
        </is>
      </c>
      <c r="B776" s="9" t="inlineStr">
        <is>
          <t xml:space="preserve">    SMB overview dashboard</t>
        </is>
      </c>
      <c r="C776" s="10">
        <f>HYPERLINK("https://www.ibm.com/docs/en/storage-ceph/9.9.1?topic=clusters-smb-overview-dashboard","https://www.ibm.com/docs/en/storage-ceph/9.9.1?topic=clusters-smb-overview-dashboard")</f>
        <v/>
      </c>
    </row>
    <row r="777" ht="18" customHeight="1">
      <c r="A777" s="8" t="inlineStr">
        <is>
          <t>17.16.2</t>
        </is>
      </c>
      <c r="B777" s="9" t="inlineStr">
        <is>
          <t xml:space="preserve">    Managing SMB clusters</t>
        </is>
      </c>
      <c r="C777" s="10">
        <f>HYPERLINK("https://www.ibm.com/docs/en/storage-ceph/9.9.1?topic=clusters-managing-smb","https://www.ibm.com/docs/en/storage-ceph/9.9.1?topic=clusters-managing-smb")</f>
        <v/>
      </c>
    </row>
    <row r="778" ht="18" customHeight="1">
      <c r="A778" s="8" t="inlineStr">
        <is>
          <t>17.16.2.1</t>
        </is>
      </c>
      <c r="B778" s="9" t="inlineStr">
        <is>
          <t xml:space="preserve">      Creating Active Directory access resources</t>
        </is>
      </c>
      <c r="C778" s="10">
        <f>HYPERLINK("https://www.ibm.com/docs/en/storage-ceph/9.9.1?topic=clusters-creating-active-directory-access-resources","https://www.ibm.com/docs/en/storage-ceph/9.9.1?topic=clusters-creating-active-directory-access-resources")</f>
        <v/>
      </c>
    </row>
    <row r="779" ht="18" customHeight="1">
      <c r="A779" s="8" t="inlineStr">
        <is>
          <t>17.16.2.2</t>
        </is>
      </c>
      <c r="B779" s="9" t="inlineStr">
        <is>
          <t xml:space="preserve">      Creating users and groups access resources</t>
        </is>
      </c>
      <c r="C779" s="10">
        <f>HYPERLINK("https://www.ibm.com/docs/en/storage-ceph/9.9.1?topic=clusters-creating-users-groups-access-resources","https://www.ibm.com/docs/en/storage-ceph/9.9.1?topic=clusters-creating-users-groups-access-resources")</f>
        <v/>
      </c>
    </row>
    <row r="780" ht="18" customHeight="1">
      <c r="A780" s="8" t="inlineStr">
        <is>
          <t>17.16.3</t>
        </is>
      </c>
      <c r="B780" s="9" t="inlineStr">
        <is>
          <t xml:space="preserve">    Managing SMB shares</t>
        </is>
      </c>
      <c r="C780" s="10">
        <f>HYPERLINK("https://www.ibm.com/docs/en/storage-ceph/9.9.1?topic=clusters-managing-smb-shares","https://www.ibm.com/docs/en/storage-ceph/9.9.1?topic=clusters-managing-smb-shares")</f>
        <v/>
      </c>
    </row>
    <row r="781" ht="18" customHeight="1">
      <c r="A781" s="8" t="inlineStr">
        <is>
          <t>17.16.4</t>
        </is>
      </c>
      <c r="B781" s="9" t="inlineStr">
        <is>
          <t xml:space="preserve">    Managing SMB service</t>
        </is>
      </c>
      <c r="C781" s="10">
        <f>HYPERLINK("https://www.ibm.com/docs/en/storage-ceph/9.9.1?topic=clusters-managing-smb-service","https://www.ibm.com/docs/en/storage-ceph/9.9.1?topic=clusters-managing-smb-service")</f>
        <v/>
      </c>
    </row>
    <row r="782" ht="18" customHeight="1">
      <c r="A782" s="8" t="inlineStr">
        <is>
          <t>17.16.5</t>
        </is>
      </c>
      <c r="B782" s="9" t="inlineStr">
        <is>
          <t xml:space="preserve">    Rate-limiting in SMB</t>
        </is>
      </c>
      <c r="C782" s="10">
        <f>HYPERLINK("https://www.ibm.com/docs/en/storage-ceph/9.9.1?topic=clusters-rate-limiting-in-smb","https://www.ibm.com/docs/en/storage-ceph/9.9.1?topic=clusters-rate-limiting-in-smb")</f>
        <v/>
      </c>
    </row>
    <row r="783" ht="18" customHeight="1">
      <c r="A783" s="8" t="inlineStr">
        <is>
          <t>17.16.5.1</t>
        </is>
      </c>
      <c r="B783" s="9" t="inlineStr">
        <is>
          <t xml:space="preserve">      Managing bandwidth and IOPS rate-limiting for SMB shares</t>
        </is>
      </c>
      <c r="C783" s="10">
        <f>HYPERLINK("https://www.ibm.com/docs/en/storage-ceph/9.9.1?topic=smb-managing-bandwidth-iops-rate-limiting-shares","https://www.ibm.com/docs/en/storage-ceph/9.9.1?topic=smb-managing-bandwidth-iops-rate-limiting-shares")</f>
        <v/>
      </c>
    </row>
    <row r="784" ht="18" customHeight="1">
      <c r="A784" s="5" t="inlineStr">
        <is>
          <t>17.17</t>
        </is>
      </c>
      <c r="B784" s="6" t="inlineStr">
        <is>
          <t xml:space="preserve">  Managing Ceph Object Gateway</t>
        </is>
      </c>
      <c r="C784" s="7">
        <f>HYPERLINK("https://www.ibm.com/docs/en/storage-ceph/9.9.1?topic=dashboard-managing-ceph-object-gateway","https://www.ibm.com/docs/en/storage-ceph/9.9.1?topic=dashboard-managing-ceph-object-gateway")</f>
        <v/>
      </c>
    </row>
    <row r="785" ht="18" customHeight="1">
      <c r="A785" s="8" t="inlineStr">
        <is>
          <t>17.17.1</t>
        </is>
      </c>
      <c r="B785" s="9" t="inlineStr">
        <is>
          <t xml:space="preserve">    Manually adding Ceph Object Gateway login credentials to the dashboard</t>
        </is>
      </c>
      <c r="C785" s="10">
        <f>HYPERLINK("https://www.ibm.com/docs/en/storage-ceph/9.9.1?topic=mcog-manually-adding-ceph-object-gateway-login-credentials-dashboard","https://www.ibm.com/docs/en/storage-ceph/9.9.1?topic=mcog-manually-adding-ceph-object-gateway-login-credentials-dashboard")</f>
        <v/>
      </c>
    </row>
    <row r="786" ht="18" customHeight="1">
      <c r="A786" s="8" t="inlineStr">
        <is>
          <t>17.17.1.1</t>
        </is>
      </c>
      <c r="B786" s="9" t="inlineStr">
        <is>
          <t xml:space="preserve">      Creating the Ceph Object Gateway services with SSL using the dashboard</t>
        </is>
      </c>
      <c r="C786" s="10">
        <f>HYPERLINK("https://www.ibm.com/docs/en/storage-ceph/9.9.1?topic=macoglcd-creating-ceph-object-gateway-services-ssl-using-dashboard","https://www.ibm.com/docs/en/storage-ceph/9.9.1?topic=macoglcd-creating-ceph-object-gateway-services-ssl-using-dashboard")</f>
        <v/>
      </c>
    </row>
    <row r="787" ht="18" customHeight="1">
      <c r="A787" s="8" t="inlineStr">
        <is>
          <t>17.17.2</t>
        </is>
      </c>
      <c r="B787" s="9" t="inlineStr">
        <is>
          <t xml:space="preserve">    Managing Ceph Object Gateway users</t>
        </is>
      </c>
      <c r="C787" s="10">
        <f>HYPERLINK("https://www.ibm.com/docs/en/storage-ceph/9.9.1?topic=gateway-managing-ceph-object-users","https://www.ibm.com/docs/en/storage-ceph/9.9.1?topic=gateway-managing-ceph-object-users")</f>
        <v/>
      </c>
    </row>
    <row r="788" ht="18" customHeight="1">
      <c r="A788" s="8" t="inlineStr">
        <is>
          <t>17.17.2.1</t>
        </is>
      </c>
      <c r="B788" s="9" t="inlineStr">
        <is>
          <t xml:space="preserve">      Creating Ceph Object Gateway users</t>
        </is>
      </c>
      <c r="C788" s="10">
        <f>HYPERLINK("https://www.ibm.com/docs/en/storage-ceph/9.9.1?topic=users-creating-ceph-object-gateway","https://www.ibm.com/docs/en/storage-ceph/9.9.1?topic=users-creating-ceph-object-gateway")</f>
        <v/>
      </c>
    </row>
    <row r="789" ht="18" customHeight="1">
      <c r="A789" s="8" t="inlineStr">
        <is>
          <t>17.17.2.2</t>
        </is>
      </c>
      <c r="B789" s="9" t="inlineStr">
        <is>
          <t xml:space="preserve">      Creating Ceph Object Gateway subusers</t>
        </is>
      </c>
      <c r="C789" s="10">
        <f>HYPERLINK("https://www.ibm.com/docs/en/storage-ceph/9.9.1?topic=users-creating-ceph-object-gateway-subusers","https://www.ibm.com/docs/en/storage-ceph/9.9.1?topic=users-creating-ceph-object-gateway-subusers")</f>
        <v/>
      </c>
    </row>
    <row r="790" ht="18" customHeight="1">
      <c r="A790" s="8" t="inlineStr">
        <is>
          <t>17.17.2.3</t>
        </is>
      </c>
      <c r="B790" s="9" t="inlineStr">
        <is>
          <t xml:space="preserve">      Adding roles to Ceph Object Gateway users</t>
        </is>
      </c>
      <c r="C790" s="10">
        <f>HYPERLINK("https://www.ibm.com/docs/en/storage-ceph/9.9.1?topic=users-adding-roles-ceph-object-gateway","https://www.ibm.com/docs/en/storage-ceph/9.9.1?topic=users-adding-roles-ceph-object-gateway")</f>
        <v/>
      </c>
    </row>
    <row r="791" ht="18" customHeight="1">
      <c r="A791" s="8" t="inlineStr">
        <is>
          <t>17.17.2.4</t>
        </is>
      </c>
      <c r="B791" s="9" t="inlineStr">
        <is>
          <t xml:space="preserve">      Editing Ceph Object Gateway users on the dashboard</t>
        </is>
      </c>
      <c r="C791" s="10">
        <f>HYPERLINK("https://www.ibm.com/docs/en/storage-ceph/9.9.1?topic=users-editing-ceph-object-gateway-dashboard","https://www.ibm.com/docs/en/storage-ceph/9.9.1?topic=users-editing-ceph-object-gateway-dashboard")</f>
        <v/>
      </c>
    </row>
    <row r="792" ht="18" customHeight="1">
      <c r="A792" s="8" t="inlineStr">
        <is>
          <t>17.17.2.5</t>
        </is>
      </c>
      <c r="B792" s="9" t="inlineStr">
        <is>
          <t xml:space="preserve">      Deleting Ceph Object Gateway users</t>
        </is>
      </c>
      <c r="C792" s="10">
        <f>HYPERLINK("https://www.ibm.com/docs/en/storage-ceph/9.9.1?topic=users-deleting-ceph-object-gateway","https://www.ibm.com/docs/en/storage-ceph/9.9.1?topic=users-deleting-ceph-object-gateway")</f>
        <v/>
      </c>
    </row>
    <row r="793" ht="18" customHeight="1">
      <c r="A793" s="8" t="inlineStr">
        <is>
          <t>17.17.3</t>
        </is>
      </c>
      <c r="B793" s="9" t="inlineStr">
        <is>
          <t xml:space="preserve">    Managing user accounts</t>
        </is>
      </c>
      <c r="C793" s="10">
        <f>HYPERLINK("https://www.ibm.com/docs/en/storage-ceph/9.9.1?topic=gateway-managing-user-accounts","https://www.ibm.com/docs/en/storage-ceph/9.9.1?topic=gateway-managing-user-accounts")</f>
        <v/>
      </c>
    </row>
    <row r="794" ht="18" customHeight="1">
      <c r="A794" s="8" t="inlineStr">
        <is>
          <t>17.17.3.1</t>
        </is>
      </c>
      <c r="B794" s="9" t="inlineStr">
        <is>
          <t xml:space="preserve">      Creating an account</t>
        </is>
      </c>
      <c r="C794" s="10">
        <f>HYPERLINK("https://www.ibm.com/docs/en/storage-ceph/9.9.1?topic=accounts-creating-account","https://www.ibm.com/docs/en/storage-ceph/9.9.1?topic=accounts-creating-account")</f>
        <v/>
      </c>
    </row>
    <row r="795" ht="18" customHeight="1">
      <c r="A795" s="8" t="inlineStr">
        <is>
          <t>17.17.3.2</t>
        </is>
      </c>
      <c r="B795" s="9" t="inlineStr">
        <is>
          <t xml:space="preserve">      Editing a user account</t>
        </is>
      </c>
      <c r="C795" s="10">
        <f>HYPERLINK("https://www.ibm.com/docs/en/storage-ceph/9.9.1?topic=accounts-editing-user-account","https://www.ibm.com/docs/en/storage-ceph/9.9.1?topic=accounts-editing-user-account")</f>
        <v/>
      </c>
    </row>
    <row r="796" ht="18" customHeight="1">
      <c r="A796" s="8" t="inlineStr">
        <is>
          <t>17.17.3.3</t>
        </is>
      </c>
      <c r="B796" s="9" t="inlineStr">
        <is>
          <t xml:space="preserve">      Deleting a user account</t>
        </is>
      </c>
      <c r="C796" s="10">
        <f>HYPERLINK("https://www.ibm.com/docs/en/storage-ceph/9.9.1?topic=accounts-deleting-user-account","https://www.ibm.com/docs/en/storage-ceph/9.9.1?topic=accounts-deleting-user-account")</f>
        <v/>
      </c>
    </row>
    <row r="797" ht="18" customHeight="1">
      <c r="A797" s="8" t="inlineStr">
        <is>
          <t>17.17.3.4</t>
        </is>
      </c>
      <c r="B797" s="9" t="inlineStr">
        <is>
          <t xml:space="preserve">      Linking a user to an account</t>
        </is>
      </c>
      <c r="C797" s="10">
        <f>HYPERLINK("https://www.ibm.com/docs/en/storage-ceph/9.9.1?topic=accounts-linking-user-account","https://www.ibm.com/docs/en/storage-ceph/9.9.1?topic=accounts-linking-user-account")</f>
        <v/>
      </c>
    </row>
    <row r="798" ht="18" customHeight="1">
      <c r="A798" s="8" t="inlineStr">
        <is>
          <t>17.17.3.5</t>
        </is>
      </c>
      <c r="B798" s="9" t="inlineStr">
        <is>
          <t xml:space="preserve">      Link bucket with an account</t>
        </is>
      </c>
      <c r="C798" s="10">
        <f>HYPERLINK("https://www.ibm.com/docs/en/storage-ceph/9.9.1?topic=accounts-link-bucket-account","https://www.ibm.com/docs/en/storage-ceph/9.9.1?topic=accounts-link-bucket-account")</f>
        <v/>
      </c>
    </row>
    <row r="799" ht="18" customHeight="1">
      <c r="A799" s="8" t="inlineStr">
        <is>
          <t>17.17.4</t>
        </is>
      </c>
      <c r="B799" s="9" t="inlineStr">
        <is>
          <t xml:space="preserve">    Managing Ceph Object Gateway buckets</t>
        </is>
      </c>
      <c r="C799" s="10">
        <f>HYPERLINK("https://www.ibm.com/docs/en/storage-ceph/9.9.1?topic=gateway-managing-ceph-object-buckets","https://www.ibm.com/docs/en/storage-ceph/9.9.1?topic=gateway-managing-ceph-object-buckets")</f>
        <v/>
      </c>
    </row>
    <row r="800" ht="18" customHeight="1">
      <c r="A800" s="8" t="inlineStr">
        <is>
          <t>17.17.4.1</t>
        </is>
      </c>
      <c r="B800" s="9" t="inlineStr">
        <is>
          <t xml:space="preserve">      Creating Ceph Object Gateway buckets</t>
        </is>
      </c>
      <c r="C800" s="10">
        <f>HYPERLINK("https://www.ibm.com/docs/en/storage-ceph/9.9.1?topic=buckets-creating-ceph-object-gateway","https://www.ibm.com/docs/en/storage-ceph/9.9.1?topic=buckets-creating-ceph-object-gateway")</f>
        <v/>
      </c>
    </row>
    <row r="801" ht="18" customHeight="1">
      <c r="A801" s="8" t="inlineStr">
        <is>
          <t>17.17.4.2</t>
        </is>
      </c>
      <c r="B801" s="9" t="inlineStr">
        <is>
          <t xml:space="preserve">      Editing Ceph Object Gateway buckets</t>
        </is>
      </c>
      <c r="C801" s="10">
        <f>HYPERLINK("https://www.ibm.com/docs/en/storage-ceph/9.9.1?topic=buckets-editing-ceph-object-gateway","https://www.ibm.com/docs/en/storage-ceph/9.9.1?topic=buckets-editing-ceph-object-gateway")</f>
        <v/>
      </c>
    </row>
    <row r="802" ht="18" customHeight="1">
      <c r="A802" s="8" t="inlineStr">
        <is>
          <t>17.17.4.3</t>
        </is>
      </c>
      <c r="B802" s="9" t="inlineStr">
        <is>
          <t xml:space="preserve">      Deleting Ceph Object Gateway buckets</t>
        </is>
      </c>
      <c r="C802" s="10">
        <f>HYPERLINK("https://www.ibm.com/docs/en/storage-ceph/9.9.1?topic=buckets-deleting-ceph-object-gateway","https://www.ibm.com/docs/en/storage-ceph/9.9.1?topic=buckets-deleting-ceph-object-gateway")</f>
        <v/>
      </c>
    </row>
    <row r="803" ht="18" customHeight="1">
      <c r="A803" s="8" t="inlineStr">
        <is>
          <t>17.17.5</t>
        </is>
      </c>
      <c r="B803" s="9" t="inlineStr">
        <is>
          <t xml:space="preserve">    Managing Ceph Object Gateway notification destinations</t>
        </is>
      </c>
      <c r="C803" s="10">
        <f>HYPERLINK("https://www.ibm.com/docs/en/storage-ceph/9.9.1?topic=gateway-managing-ceph-object-notification-destinations","https://www.ibm.com/docs/en/storage-ceph/9.9.1?topic=gateway-managing-ceph-object-notification-destinations")</f>
        <v/>
      </c>
    </row>
    <row r="804" ht="18" customHeight="1">
      <c r="A804" s="8" t="inlineStr">
        <is>
          <t>17.17.5.1</t>
        </is>
      </c>
      <c r="B804" s="9" t="inlineStr">
        <is>
          <t xml:space="preserve">      Creating a notification destination</t>
        </is>
      </c>
      <c r="C804" s="10">
        <f>HYPERLINK("https://www.ibm.com/docs/en/storage-ceph/9.9.1?topic=destinations-creating-notification-destination","https://www.ibm.com/docs/en/storage-ceph/9.9.1?topic=destinations-creating-notification-destination")</f>
        <v/>
      </c>
    </row>
    <row r="805" ht="18" customHeight="1">
      <c r="A805" s="8" t="inlineStr">
        <is>
          <t>17.17.5.2</t>
        </is>
      </c>
      <c r="B805" s="9" t="inlineStr">
        <is>
          <t xml:space="preserve">      Editing a notification destination</t>
        </is>
      </c>
      <c r="C805" s="10">
        <f>HYPERLINK("https://www.ibm.com/docs/en/storage-ceph/9.9.1?topic=destinations-editing-notification-destination","https://www.ibm.com/docs/en/storage-ceph/9.9.1?topic=destinations-editing-notification-destination")</f>
        <v/>
      </c>
    </row>
    <row r="806" ht="18" customHeight="1">
      <c r="A806" s="8" t="inlineStr">
        <is>
          <t>17.17.5.3</t>
        </is>
      </c>
      <c r="B806" s="9" t="inlineStr">
        <is>
          <t xml:space="preserve">      Deleting a notification destination</t>
        </is>
      </c>
      <c r="C806" s="10">
        <f>HYPERLINK("https://www.ibm.com/docs/en/storage-ceph/9.9.1?topic=destinations-deleting-notification-destination","https://www.ibm.com/docs/en/storage-ceph/9.9.1?topic=destinations-deleting-notification-destination")</f>
        <v/>
      </c>
    </row>
    <row r="807" ht="18" customHeight="1">
      <c r="A807" s="8" t="inlineStr">
        <is>
          <t>17.17.5.4</t>
        </is>
      </c>
      <c r="B807" s="9" t="inlineStr">
        <is>
          <t xml:space="preserve">      Listing notification destinations</t>
        </is>
      </c>
      <c r="C807" s="10">
        <f>HYPERLINK("https://www.ibm.com/docs/en/storage-ceph/9.9.1?topic=destinations-listing-notification","https://www.ibm.com/docs/en/storage-ceph/9.9.1?topic=destinations-listing-notification")</f>
        <v/>
      </c>
    </row>
    <row r="808" ht="18" customHeight="1">
      <c r="A808" s="8" t="inlineStr">
        <is>
          <t>17.17.6</t>
        </is>
      </c>
      <c r="B808" s="9" t="inlineStr">
        <is>
          <t xml:space="preserve">    Managing bucket notifications in Ceph Object Gateway</t>
        </is>
      </c>
      <c r="C808" s="10">
        <f>HYPERLINK("https://www.ibm.com/docs/en/storage-ceph/9.9.1?topic=gateway-managing-bucket-notifications-in-ceph-object","https://www.ibm.com/docs/en/storage-ceph/9.9.1?topic=gateway-managing-bucket-notifications-in-ceph-object")</f>
        <v/>
      </c>
    </row>
    <row r="809" ht="18" customHeight="1">
      <c r="A809" s="8" t="inlineStr">
        <is>
          <t>17.17.6.1</t>
        </is>
      </c>
      <c r="B809" s="9" t="inlineStr">
        <is>
          <t xml:space="preserve">      Creating a bucket notification</t>
        </is>
      </c>
      <c r="C809" s="10">
        <f>HYPERLINK("https://www.ibm.com/docs/en/storage-ceph/9.9.1?topic=gateway-creating-bucket-notification","https://www.ibm.com/docs/en/storage-ceph/9.9.1?topic=gateway-creating-bucket-notification")</f>
        <v/>
      </c>
    </row>
    <row r="810" ht="18" customHeight="1">
      <c r="A810" s="8" t="inlineStr">
        <is>
          <t>17.17.6.2</t>
        </is>
      </c>
      <c r="B810" s="9" t="inlineStr">
        <is>
          <t xml:space="preserve">      Editing a bucket notification</t>
        </is>
      </c>
      <c r="C810" s="10">
        <f>HYPERLINK("https://www.ibm.com/docs/en/storage-ceph/9.9.1?topic=gateway-editing-bucket-notification","https://www.ibm.com/docs/en/storage-ceph/9.9.1?topic=gateway-editing-bucket-notification")</f>
        <v/>
      </c>
    </row>
    <row r="811" ht="18" customHeight="1">
      <c r="A811" s="8" t="inlineStr">
        <is>
          <t>17.17.6.3</t>
        </is>
      </c>
      <c r="B811" s="9" t="inlineStr">
        <is>
          <t xml:space="preserve">      Deleting a bucket notification</t>
        </is>
      </c>
      <c r="C811" s="10">
        <f>HYPERLINK("https://www.ibm.com/docs/en/storage-ceph/9.9.1?topic=gateway-deleting-bucket-notification","https://www.ibm.com/docs/en/storage-ceph/9.9.1?topic=gateway-deleting-bucket-notification")</f>
        <v/>
      </c>
    </row>
    <row r="812" ht="18" customHeight="1">
      <c r="A812" s="8" t="inlineStr">
        <is>
          <t>17.17.6.4</t>
        </is>
      </c>
      <c r="B812" s="9" t="inlineStr">
        <is>
          <t xml:space="preserve">      Listing bucket notifications</t>
        </is>
      </c>
      <c r="C812" s="10">
        <f>HYPERLINK("https://www.ibm.com/docs/en/storage-ceph/9.9.1?topic=gateway-listing-bucket-notifications","https://www.ibm.com/docs/en/storage-ceph/9.9.1?topic=gateway-listing-bucket-notifications")</f>
        <v/>
      </c>
    </row>
    <row r="813" ht="18" customHeight="1">
      <c r="A813" s="8" t="inlineStr">
        <is>
          <t>17.17.7</t>
        </is>
      </c>
      <c r="B813" s="9" t="inlineStr">
        <is>
          <t xml:space="preserve">    Viewing Performance Metrics for Multi-Site Sync Deltas in Ceph Object Gateway</t>
        </is>
      </c>
      <c r="C813" s="10">
        <f>HYPERLINK("https://www.ibm.com/docs/en/storage-ceph/9.9.1?topic=mcog-viewing-performance-metrics-multi-site-sync-deltas-in-ceph-object-gateway","https://www.ibm.com/docs/en/storage-ceph/9.9.1?topic=mcog-viewing-performance-metrics-multi-site-sync-deltas-in-ceph-object-gateway")</f>
        <v/>
      </c>
    </row>
    <row r="814" ht="18" customHeight="1">
      <c r="A814" s="8" t="inlineStr">
        <is>
          <t>17.17.8</t>
        </is>
      </c>
      <c r="B814" s="9" t="inlineStr">
        <is>
          <t xml:space="preserve">    Viewing Ceph Object Gateway per-user and per-bucket performance counters</t>
        </is>
      </c>
      <c r="C814" s="10">
        <f>HYPERLINK("https://www.ibm.com/docs/en/storage-ceph/9.9.1?topic=mcog-viewing-ceph-object-gateway-per-user-per-bucket-performance-counters","https://www.ibm.com/docs/en/storage-ceph/9.9.1?topic=mcog-viewing-ceph-object-gateway-per-user-per-bucket-performance-counters")</f>
        <v/>
      </c>
    </row>
    <row r="815" ht="18" customHeight="1">
      <c r="A815" s="8" t="inlineStr">
        <is>
          <t>17.17.9</t>
        </is>
      </c>
      <c r="B815" s="9" t="inlineStr">
        <is>
          <t xml:space="preserve">    Managing Ceph Object Gateway bucket policies</t>
        </is>
      </c>
      <c r="C815" s="10">
        <f>HYPERLINK("https://www.ibm.com/docs/en/storage-ceph/9.9.1?topic=gateway-managing-ceph-object-bucket-policies","https://www.ibm.com/docs/en/storage-ceph/9.9.1?topic=gateway-managing-ceph-object-bucket-policies")</f>
        <v/>
      </c>
    </row>
    <row r="816" ht="18" customHeight="1">
      <c r="A816" s="8" t="inlineStr">
        <is>
          <t>17.17.9.1</t>
        </is>
      </c>
      <c r="B816" s="9" t="inlineStr">
        <is>
          <t xml:space="preserve">      Creating and editing Ceph Object Gateway bucket policies</t>
        </is>
      </c>
      <c r="C816" s="10">
        <f>HYPERLINK("https://www.ibm.com/docs/en/storage-ceph/9.9.1?topic=policies-creating-editing-ceph-object-gateway-bucket","https://www.ibm.com/docs/en/storage-ceph/9.9.1?topic=policies-creating-editing-ceph-object-gateway-bucket")</f>
        <v/>
      </c>
    </row>
    <row r="817" ht="18" customHeight="1">
      <c r="A817" s="8" t="inlineStr">
        <is>
          <t>17.17.9.2</t>
        </is>
      </c>
      <c r="B817" s="9" t="inlineStr">
        <is>
          <t xml:space="preserve">      Deleting Ceph Object Gateway bucket policies</t>
        </is>
      </c>
      <c r="C817" s="10">
        <f>HYPERLINK("https://www.ibm.com/docs/en/storage-ceph/9.9.1?topic=policies-deleting-ceph-object-gateway-bucket","https://www.ibm.com/docs/en/storage-ceph/9.9.1?topic=policies-deleting-ceph-object-gateway-bucket")</f>
        <v/>
      </c>
    </row>
    <row r="818" ht="18" customHeight="1">
      <c r="A818" s="8" t="inlineStr">
        <is>
          <t>17.17.10</t>
        </is>
      </c>
      <c r="B818" s="9" t="inlineStr">
        <is>
          <t xml:space="preserve">    Managing S3 bucket lifecycle policies</t>
        </is>
      </c>
      <c r="C818" s="10">
        <f>HYPERLINK("https://www.ibm.com/docs/en/storage-ceph/9.9.1?topic=gateway-managing-s3-bucket-lifecycle-policies","https://www.ibm.com/docs/en/storage-ceph/9.9.1?topic=gateway-managing-s3-bucket-lifecycle-policies")</f>
        <v/>
      </c>
    </row>
    <row r="819" ht="18" customHeight="1">
      <c r="A819" s="8" t="inlineStr">
        <is>
          <t>17.17.10.1</t>
        </is>
      </c>
      <c r="B819" s="9" t="inlineStr">
        <is>
          <t xml:space="preserve">      Applying and viewing bucket lifecycle policies</t>
        </is>
      </c>
      <c r="C819" s="10">
        <f>HYPERLINK("https://www.ibm.com/docs/en/storage-ceph/9.9.1?topic=policies-applying-viewing-bucket-lifecycle","https://www.ibm.com/docs/en/storage-ceph/9.9.1?topic=policies-applying-viewing-bucket-lifecycle")</f>
        <v/>
      </c>
    </row>
    <row r="820" ht="18" customHeight="1">
      <c r="A820" s="8" t="inlineStr">
        <is>
          <t>17.17.10.2</t>
        </is>
      </c>
      <c r="B820" s="9" t="inlineStr">
        <is>
          <t xml:space="preserve">      Deleting bucket lifecycle policies</t>
        </is>
      </c>
      <c r="C820" s="10">
        <f>HYPERLINK("https://www.ibm.com/docs/en/storage-ceph/9.9.1?topic=policies-deleting-bucket-lifecycle","https://www.ibm.com/docs/en/storage-ceph/9.9.1?topic=policies-deleting-bucket-lifecycle")</f>
        <v/>
      </c>
    </row>
    <row r="821" ht="18" customHeight="1">
      <c r="A821" s="8" t="inlineStr">
        <is>
          <t>17.17.11</t>
        </is>
      </c>
      <c r="B821" s="9" t="inlineStr">
        <is>
          <t xml:space="preserve">    Creating a tiering storage class</t>
        </is>
      </c>
      <c r="C821" s="10">
        <f>HYPERLINK("https://www.ibm.com/docs/en/storage-ceph/9.9.1?topic=gateway-creating-tiering-storage-class","https://www.ibm.com/docs/en/storage-ceph/9.9.1?topic=gateway-creating-tiering-storage-class")</f>
        <v/>
      </c>
    </row>
    <row r="822" ht="18" customHeight="1">
      <c r="A822" s="8" t="inlineStr">
        <is>
          <t>17.17.12</t>
        </is>
      </c>
      <c r="B822" s="9" t="inlineStr">
        <is>
          <t xml:space="preserve">    Managing buckets of a multi-site object configuration</t>
        </is>
      </c>
      <c r="C822" s="10">
        <f>HYPERLINK("https://www.ibm.com/docs/en/storage-ceph/9.9.1?topic=gateway-managing-buckets-multi-site-object-configuration","https://www.ibm.com/docs/en/storage-ceph/9.9.1?topic=gateway-managing-buckets-multi-site-object-configuration")</f>
        <v/>
      </c>
    </row>
    <row r="823" ht="18" customHeight="1">
      <c r="A823" s="8" t="inlineStr">
        <is>
          <t>17.17.12.1</t>
        </is>
      </c>
      <c r="B823" s="9" t="inlineStr">
        <is>
          <t xml:space="preserve">      Monitoring buckets of a multi-site object</t>
        </is>
      </c>
      <c r="C823" s="10">
        <f>HYPERLINK("https://www.ibm.com/docs/en/storage-ceph/9.9.1?topic=configuration-monitoring-buckets-multi-site-object","https://www.ibm.com/docs/en/storage-ceph/9.9.1?topic=configuration-monitoring-buckets-multi-site-object")</f>
        <v/>
      </c>
    </row>
    <row r="824" ht="18" customHeight="1">
      <c r="A824" s="8" t="inlineStr">
        <is>
          <t>17.17.12.2</t>
        </is>
      </c>
      <c r="B824" s="9" t="inlineStr">
        <is>
          <t xml:space="preserve">      Editing buckets of a multi-site Ceph Object Gateway configuration</t>
        </is>
      </c>
      <c r="C824" s="10">
        <f>HYPERLINK("https://www.ibm.com/docs/en/storage-ceph/9.9.1?topic=mbmsoc-editing-buckets-multi-site-ceph-object-gateway-configuration","https://www.ibm.com/docs/en/storage-ceph/9.9.1?topic=mbmsoc-editing-buckets-multi-site-ceph-object-gateway-configuration")</f>
        <v/>
      </c>
    </row>
    <row r="825" ht="18" customHeight="1">
      <c r="A825" s="8" t="inlineStr">
        <is>
          <t>17.17.12.3</t>
        </is>
      </c>
      <c r="B825" s="9" t="inlineStr">
        <is>
          <t xml:space="preserve">      Deleting buckets of a multi-site Ceph Object Gateway configuration</t>
        </is>
      </c>
      <c r="C825" s="10">
        <f>HYPERLINK("https://www.ibm.com/docs/en/storage-ceph/9.9.1?topic=mbmsoc-deleting-buckets-multi-site-ceph-object-gateway-configuration","https://www.ibm.com/docs/en/storage-ceph/9.9.1?topic=mbmsoc-deleting-buckets-multi-site-ceph-object-gateway-configuration")</f>
        <v/>
      </c>
    </row>
    <row r="826" ht="18" customHeight="1">
      <c r="A826" s="8" t="inlineStr">
        <is>
          <t>17.17.12.4</t>
        </is>
      </c>
      <c r="B826" s="9" t="inlineStr">
        <is>
          <t xml:space="preserve">      Monitoring multi-site Ceph Object Gateway configuration</t>
        </is>
      </c>
      <c r="C826" s="10">
        <f>HYPERLINK("https://www.ibm.com/docs/en/storage-ceph/9.9.1?topic=configuration-monitoring-multi-site-ceph-object-gateway","https://www.ibm.com/docs/en/storage-ceph/9.9.1?topic=configuration-monitoring-multi-site-ceph-object-gateway")</f>
        <v/>
      </c>
    </row>
    <row r="827" ht="18" customHeight="1">
      <c r="A827" s="8" t="inlineStr">
        <is>
          <t>17.17.13</t>
        </is>
      </c>
      <c r="B827" s="9" t="inlineStr">
        <is>
          <t xml:space="preserve">    Configuring a multi-site</t>
        </is>
      </c>
      <c r="C827" s="10">
        <f>HYPERLINK("https://www.ibm.com/docs/en/storage-ceph/9.9.1?topic=gateway-configuring-multi-site","https://www.ibm.com/docs/en/storage-ceph/9.9.1?topic=gateway-configuring-multi-site")</f>
        <v/>
      </c>
    </row>
    <row r="828" ht="18" customHeight="1">
      <c r="A828" s="5" t="inlineStr">
        <is>
          <t>17.18</t>
        </is>
      </c>
      <c r="B828" s="6" t="inlineStr">
        <is>
          <t xml:space="preserve">  Managing Ceph File Systems (CephFS)</t>
        </is>
      </c>
      <c r="C828" s="7">
        <f>HYPERLINK("https://www.ibm.com/docs/en/storage-ceph/9.9.1?topic=dashboard-managing-ceph-file-systems-cephfs","https://www.ibm.com/docs/en/storage-ceph/9.9.1?topic=dashboard-managing-ceph-file-systems-cephfs")</f>
        <v/>
      </c>
    </row>
    <row r="829" ht="18" customHeight="1">
      <c r="A829" s="8" t="inlineStr">
        <is>
          <t>17.18.1</t>
        </is>
      </c>
      <c r="B829" s="9" t="inlineStr">
        <is>
          <t xml:space="preserve">    Configuring CephFS volumes</t>
        </is>
      </c>
      <c r="C829" s="10">
        <f>HYPERLINK("https://www.ibm.com/docs/en/storage-ceph/9.9.1?topic=cephfs-configuring-volumes","https://www.ibm.com/docs/en/storage-ceph/9.9.1?topic=cephfs-configuring-volumes")</f>
        <v/>
      </c>
    </row>
    <row r="830" ht="18" customHeight="1">
      <c r="A830" s="8" t="inlineStr">
        <is>
          <t>17.18.1.1</t>
        </is>
      </c>
      <c r="B830" s="9" t="inlineStr">
        <is>
          <t xml:space="preserve">      Creating CephFS volumes</t>
        </is>
      </c>
      <c r="C830" s="10">
        <f>HYPERLINK("https://www.ibm.com/docs/en/storage-ceph/9.9.1?topic=volumes-creating-cephfs","https://www.ibm.com/docs/en/storage-ceph/9.9.1?topic=volumes-creating-cephfs")</f>
        <v/>
      </c>
    </row>
    <row r="831" ht="18" customHeight="1">
      <c r="A831" s="8" t="inlineStr">
        <is>
          <t>17.18.1.2</t>
        </is>
      </c>
      <c r="B831" s="9" t="inlineStr">
        <is>
          <t xml:space="preserve">      Editing CephFS volumes</t>
        </is>
      </c>
      <c r="C831" s="10">
        <f>HYPERLINK("https://www.ibm.com/docs/en/storage-ceph/9.9.1?topic=volumes-editing-cephfs","https://www.ibm.com/docs/en/storage-ceph/9.9.1?topic=volumes-editing-cephfs")</f>
        <v/>
      </c>
    </row>
    <row r="832" ht="18" customHeight="1">
      <c r="A832" s="8" t="inlineStr">
        <is>
          <t>17.18.1.3</t>
        </is>
      </c>
      <c r="B832" s="9" t="inlineStr">
        <is>
          <t xml:space="preserve">      Removing CephFS volumes</t>
        </is>
      </c>
      <c r="C832" s="10">
        <f>HYPERLINK("https://www.ibm.com/docs/en/storage-ceph/9.9.1?topic=volumes-removing-cephfs","https://www.ibm.com/docs/en/storage-ceph/9.9.1?topic=volumes-removing-cephfs")</f>
        <v/>
      </c>
    </row>
    <row r="833" ht="18" customHeight="1">
      <c r="A833" s="8" t="inlineStr">
        <is>
          <t>17.18.2</t>
        </is>
      </c>
      <c r="B833" s="9" t="inlineStr">
        <is>
          <t xml:space="preserve">    Configuring CephFS subvolume groups</t>
        </is>
      </c>
      <c r="C833" s="10">
        <f>HYPERLINK("https://www.ibm.com/docs/en/storage-ceph/9.9.1?topic=cephfs-configuring-subvolume-groups","https://www.ibm.com/docs/en/storage-ceph/9.9.1?topic=cephfs-configuring-subvolume-groups")</f>
        <v/>
      </c>
    </row>
    <row r="834" ht="18" customHeight="1">
      <c r="A834" s="8" t="inlineStr">
        <is>
          <t>17.18.2.1</t>
        </is>
      </c>
      <c r="B834" s="9" t="inlineStr">
        <is>
          <t xml:space="preserve">      Creating CephFS subvolume groups</t>
        </is>
      </c>
      <c r="C834" s="10">
        <f>HYPERLINK("https://www.ibm.com/docs/en/storage-ceph/9.9.1?topic=groups-creating-cephfs-subvolume","https://www.ibm.com/docs/en/storage-ceph/9.9.1?topic=groups-creating-cephfs-subvolume")</f>
        <v/>
      </c>
    </row>
    <row r="835" ht="18" customHeight="1">
      <c r="A835" s="8" t="inlineStr">
        <is>
          <t>17.18.2.2</t>
        </is>
      </c>
      <c r="B835" s="9" t="inlineStr">
        <is>
          <t xml:space="preserve">      Editing CephFS subvolume groups</t>
        </is>
      </c>
      <c r="C835" s="10">
        <f>HYPERLINK("https://www.ibm.com/docs/en/storage-ceph/9.9.1?topic=groups-editing-cephfs-subvolume","https://www.ibm.com/docs/en/storage-ceph/9.9.1?topic=groups-editing-cephfs-subvolume")</f>
        <v/>
      </c>
    </row>
    <row r="836" ht="18" customHeight="1">
      <c r="A836" s="8" t="inlineStr">
        <is>
          <t>17.18.2.3</t>
        </is>
      </c>
      <c r="B836" s="9" t="inlineStr">
        <is>
          <t xml:space="preserve">      Removing CephFS subvolume groups</t>
        </is>
      </c>
      <c r="C836" s="10">
        <f>HYPERLINK("https://www.ibm.com/docs/en/storage-ceph/9.9.1?topic=groups-removing-cephfs-subvolume","https://www.ibm.com/docs/en/storage-ceph/9.9.1?topic=groups-removing-cephfs-subvolume")</f>
        <v/>
      </c>
    </row>
    <row r="837" ht="18" customHeight="1">
      <c r="A837" s="8" t="inlineStr">
        <is>
          <t>17.18.3</t>
        </is>
      </c>
      <c r="B837" s="9" t="inlineStr">
        <is>
          <t xml:space="preserve">    Configuring CephFS subvolumes</t>
        </is>
      </c>
      <c r="C837" s="10">
        <f>HYPERLINK("https://www.ibm.com/docs/en/storage-ceph/9.9.1?topic=cephfs-configuring-subvolumes","https://www.ibm.com/docs/en/storage-ceph/9.9.1?topic=cephfs-configuring-subvolumes")</f>
        <v/>
      </c>
    </row>
    <row r="838" ht="18" customHeight="1">
      <c r="A838" s="8" t="inlineStr">
        <is>
          <t>17.18.3.1</t>
        </is>
      </c>
      <c r="B838" s="9" t="inlineStr">
        <is>
          <t xml:space="preserve">      Creating CephFS subvolume</t>
        </is>
      </c>
      <c r="C838" s="10">
        <f>HYPERLINK("https://www.ibm.com/docs/en/storage-ceph/9.9.1?topic=subvolumes-creating-cephfs-subvolume","https://www.ibm.com/docs/en/storage-ceph/9.9.1?topic=subvolumes-creating-cephfs-subvolume")</f>
        <v/>
      </c>
    </row>
    <row r="839" ht="18" customHeight="1">
      <c r="A839" s="8" t="inlineStr">
        <is>
          <t>17.18.3.2</t>
        </is>
      </c>
      <c r="B839" s="9" t="inlineStr">
        <is>
          <t xml:space="preserve">      Editing CephFS subvolume</t>
        </is>
      </c>
      <c r="C839" s="10">
        <f>HYPERLINK("https://www.ibm.com/docs/en/storage-ceph/9.9.1?topic=subvolumes-editing-cephfs-subvolume","https://www.ibm.com/docs/en/storage-ceph/9.9.1?topic=subvolumes-editing-cephfs-subvolume")</f>
        <v/>
      </c>
    </row>
    <row r="840" ht="18" customHeight="1">
      <c r="A840" s="8" t="inlineStr">
        <is>
          <t>17.18.3.3</t>
        </is>
      </c>
      <c r="B840" s="9" t="inlineStr">
        <is>
          <t xml:space="preserve">      Removing CephFS subvolume</t>
        </is>
      </c>
      <c r="C840" s="10">
        <f>HYPERLINK("https://www.ibm.com/docs/en/storage-ceph/9.9.1?topic=subvolumes-removing-cephfs-subvolume","https://www.ibm.com/docs/en/storage-ceph/9.9.1?topic=subvolumes-removing-cephfs-subvolume")</f>
        <v/>
      </c>
    </row>
    <row r="841" ht="18" customHeight="1">
      <c r="A841" s="8" t="inlineStr">
        <is>
          <t>17.18.4</t>
        </is>
      </c>
      <c r="B841" s="9" t="inlineStr">
        <is>
          <t xml:space="preserve">    Managing CephFS snapshots</t>
        </is>
      </c>
      <c r="C841" s="10">
        <f>HYPERLINK("https://www.ibm.com/docs/en/storage-ceph/9.9.1?topic=cephfs-managing-snapshots","https://www.ibm.com/docs/en/storage-ceph/9.9.1?topic=cephfs-managing-snapshots")</f>
        <v/>
      </c>
    </row>
    <row r="842" ht="18" customHeight="1">
      <c r="A842" s="8" t="inlineStr">
        <is>
          <t>17.18.4.1</t>
        </is>
      </c>
      <c r="B842" s="9" t="inlineStr">
        <is>
          <t xml:space="preserve">      Creating CephFS subvolume snapshots</t>
        </is>
      </c>
      <c r="C842" s="10">
        <f>HYPERLINK("https://www.ibm.com/docs/en/storage-ceph/9.9.1?topic=snapshots-creating-cephfs-subvolume","https://www.ibm.com/docs/en/storage-ceph/9.9.1?topic=snapshots-creating-cephfs-subvolume")</f>
        <v/>
      </c>
    </row>
    <row r="843" ht="18" customHeight="1">
      <c r="A843" s="8" t="inlineStr">
        <is>
          <t>17.18.4.2</t>
        </is>
      </c>
      <c r="B843" s="9" t="inlineStr">
        <is>
          <t xml:space="preserve">      Deleting CephFS subvolume snapshots</t>
        </is>
      </c>
      <c r="C843" s="10">
        <f>HYPERLINK("https://www.ibm.com/docs/en/storage-ceph/9.9.1?topic=snapshots-deleting-cephfs-subvolume","https://www.ibm.com/docs/en/storage-ceph/9.9.1?topic=snapshots-deleting-cephfs-subvolume")</f>
        <v/>
      </c>
    </row>
    <row r="844" ht="18" customHeight="1">
      <c r="A844" s="8" t="inlineStr">
        <is>
          <t>17.18.4.3</t>
        </is>
      </c>
      <c r="B844" s="9" t="inlineStr">
        <is>
          <t xml:space="preserve">      Cloning CephFS subvolume snapshots</t>
        </is>
      </c>
      <c r="C844" s="10">
        <f>HYPERLINK("https://www.ibm.com/docs/en/storage-ceph/9.9.1?topic=snapshots-cloning-cephfs-subvolume","https://www.ibm.com/docs/en/storage-ceph/9.9.1?topic=snapshots-cloning-cephfs-subvolume")</f>
        <v/>
      </c>
    </row>
    <row r="845" ht="18" customHeight="1">
      <c r="A845" s="8" t="inlineStr">
        <is>
          <t>17.18.4.4</t>
        </is>
      </c>
      <c r="B845" s="9" t="inlineStr">
        <is>
          <t xml:space="preserve">      Creating CephFS volume snapshots</t>
        </is>
      </c>
      <c r="C845" s="10">
        <f>HYPERLINK("https://www.ibm.com/docs/en/storage-ceph/9.9.1?topic=snapshots-creating-cephfs-volume","https://www.ibm.com/docs/en/storage-ceph/9.9.1?topic=snapshots-creating-cephfs-volume")</f>
        <v/>
      </c>
    </row>
    <row r="846" ht="18" customHeight="1">
      <c r="A846" s="8" t="inlineStr">
        <is>
          <t>17.18.4.5</t>
        </is>
      </c>
      <c r="B846" s="9" t="inlineStr">
        <is>
          <t xml:space="preserve">      Deleting CephFS volume snapshots</t>
        </is>
      </c>
      <c r="C846" s="10">
        <f>HYPERLINK("https://www.ibm.com/docs/en/storage-ceph/9.9.1?topic=snapshots-deleting-cephfs-volume","https://www.ibm.com/docs/en/storage-ceph/9.9.1?topic=snapshots-deleting-cephfs-volume")</f>
        <v/>
      </c>
    </row>
    <row r="847" ht="18" customHeight="1">
      <c r="A847" s="8" t="inlineStr">
        <is>
          <t>17.18.5</t>
        </is>
      </c>
      <c r="B847" s="9" t="inlineStr">
        <is>
          <t xml:space="preserve">    Scheduling CephFS snapshots</t>
        </is>
      </c>
      <c r="C847" s="10">
        <f>HYPERLINK("https://www.ibm.com/docs/en/storage-ceph/9.9.1?topic=cephfs-scheduling-snapshots","https://www.ibm.com/docs/en/storage-ceph/9.9.1?topic=cephfs-scheduling-snapshots")</f>
        <v/>
      </c>
    </row>
    <row r="848" ht="18" customHeight="1">
      <c r="A848" s="8" t="inlineStr">
        <is>
          <t>17.18.5.1</t>
        </is>
      </c>
      <c r="B848" s="9" t="inlineStr">
        <is>
          <t xml:space="preserve">      Creating CephFS snapshot schedule</t>
        </is>
      </c>
      <c r="C848" s="10">
        <f>HYPERLINK("https://www.ibm.com/docs/en/storage-ceph/9.9.1?topic=snapshots-creating-cephfs-snapshot-schedule","https://www.ibm.com/docs/en/storage-ceph/9.9.1?topic=snapshots-creating-cephfs-snapshot-schedule")</f>
        <v/>
      </c>
    </row>
    <row r="849" ht="18" customHeight="1">
      <c r="A849" s="8" t="inlineStr">
        <is>
          <t>17.18.5.2</t>
        </is>
      </c>
      <c r="B849" s="9" t="inlineStr">
        <is>
          <t xml:space="preserve">      Editing CephFS snapshot schedule</t>
        </is>
      </c>
      <c r="C849" s="10">
        <f>HYPERLINK("https://www.ibm.com/docs/en/storage-ceph/9.9.1?topic=snapshots-editing-cephfs-snapshot-schedule","https://www.ibm.com/docs/en/storage-ceph/9.9.1?topic=snapshots-editing-cephfs-snapshot-schedule")</f>
        <v/>
      </c>
    </row>
    <row r="850" ht="18" customHeight="1">
      <c r="A850" s="8" t="inlineStr">
        <is>
          <t>17.18.5.3</t>
        </is>
      </c>
      <c r="B850" s="9" t="inlineStr">
        <is>
          <t xml:space="preserve">      Deleting CephFS snapshot schedule</t>
        </is>
      </c>
      <c r="C850" s="10">
        <f>HYPERLINK("https://www.ibm.com/docs/en/storage-ceph/9.9.1?topic=snapshots-deleting-cephfs-snapshot-schedule","https://www.ibm.com/docs/en/storage-ceph/9.9.1?topic=snapshots-deleting-cephfs-snapshot-schedule")</f>
        <v/>
      </c>
    </row>
    <row r="851" ht="18" customHeight="1">
      <c r="A851" s="8" t="inlineStr">
        <is>
          <t>17.18.5.4</t>
        </is>
      </c>
      <c r="B851" s="9" t="inlineStr">
        <is>
          <t xml:space="preserve">      Deactivating and activating CephFS snapshot schedule</t>
        </is>
      </c>
      <c r="C851" s="10">
        <f>HYPERLINK("https://www.ibm.com/docs/en/storage-ceph/9.9.1?topic=snapshots-deactivating-activating-cephfs-snapshot-schedule","https://www.ibm.com/docs/en/storage-ceph/9.9.1?topic=snapshots-deactivating-activating-cephfs-snapshot-schedule")</f>
        <v/>
      </c>
    </row>
    <row r="852" ht="18" customHeight="1">
      <c r="A852" s="5" t="inlineStr">
        <is>
          <t>17.19</t>
        </is>
      </c>
      <c r="B852" s="6" t="inlineStr">
        <is>
          <t xml:space="preserve">  Managing block devices</t>
        </is>
      </c>
      <c r="C852" s="7">
        <f>HYPERLINK("https://www.ibm.com/docs/en/storage-ceph/9.9.1?topic=dashboard-managing-block-devices","https://www.ibm.com/docs/en/storage-ceph/9.9.1?topic=dashboard-managing-block-devices")</f>
        <v/>
      </c>
    </row>
    <row r="853" ht="18" customHeight="1">
      <c r="A853" s="8" t="inlineStr">
        <is>
          <t>17.19.1</t>
        </is>
      </c>
      <c r="B853" s="9" t="inlineStr">
        <is>
          <t xml:space="preserve">    Managing block device images</t>
        </is>
      </c>
      <c r="C853" s="10">
        <f>HYPERLINK("https://www.ibm.com/docs/en/storage-ceph/9.9.1?topic=devices-managing-block-device-images","https://www.ibm.com/docs/en/storage-ceph/9.9.1?topic=devices-managing-block-device-images")</f>
        <v/>
      </c>
    </row>
    <row r="854" ht="18" customHeight="1">
      <c r="A854" s="8" t="inlineStr">
        <is>
          <t>17.19.1.1</t>
        </is>
      </c>
      <c r="B854" s="9" t="inlineStr">
        <is>
          <t xml:space="preserve">      Creating images</t>
        </is>
      </c>
      <c r="C854" s="10">
        <f>HYPERLINK("https://www.ibm.com/docs/en/storage-ceph/9.9.1?topic=images-creating","https://www.ibm.com/docs/en/storage-ceph/9.9.1?topic=images-creating")</f>
        <v/>
      </c>
    </row>
    <row r="855" ht="18" customHeight="1">
      <c r="A855" s="8" t="inlineStr">
        <is>
          <t>17.19.1.2</t>
        </is>
      </c>
      <c r="B855" s="9" t="inlineStr">
        <is>
          <t xml:space="preserve">      Creating namespaces</t>
        </is>
      </c>
      <c r="C855" s="10">
        <f>HYPERLINK("https://www.ibm.com/docs/en/storage-ceph/9.9.1?topic=images-creating-namespaces","https://www.ibm.com/docs/en/storage-ceph/9.9.1?topic=images-creating-namespaces")</f>
        <v/>
      </c>
    </row>
    <row r="856" ht="18" customHeight="1">
      <c r="A856" s="8" t="inlineStr">
        <is>
          <t>17.19.1.3</t>
        </is>
      </c>
      <c r="B856" s="9" t="inlineStr">
        <is>
          <t xml:space="preserve">      Editing images</t>
        </is>
      </c>
      <c r="C856" s="10">
        <f>HYPERLINK("https://www.ibm.com/docs/en/storage-ceph/9.9.1?topic=images-editing","https://www.ibm.com/docs/en/storage-ceph/9.9.1?topic=images-editing")</f>
        <v/>
      </c>
    </row>
    <row r="857" ht="18" customHeight="1">
      <c r="A857" s="8" t="inlineStr">
        <is>
          <t>17.19.1.4</t>
        </is>
      </c>
      <c r="B857" s="9" t="inlineStr">
        <is>
          <t xml:space="preserve">      Copying images</t>
        </is>
      </c>
      <c r="C857" s="10">
        <f>HYPERLINK("https://www.ibm.com/docs/en/storage-ceph/9.9.1?topic=images-copying","https://www.ibm.com/docs/en/storage-ceph/9.9.1?topic=images-copying")</f>
        <v/>
      </c>
    </row>
    <row r="858" ht="18" customHeight="1">
      <c r="A858" s="8" t="inlineStr">
        <is>
          <t>17.19.1.5</t>
        </is>
      </c>
      <c r="B858" s="9" t="inlineStr">
        <is>
          <t xml:space="preserve">      Moving images to trash</t>
        </is>
      </c>
      <c r="C858" s="10">
        <f>HYPERLINK("https://www.ibm.com/docs/en/storage-ceph/9.9.1?topic=images-moving-trash","https://www.ibm.com/docs/en/storage-ceph/9.9.1?topic=images-moving-trash")</f>
        <v/>
      </c>
    </row>
    <row r="859" ht="18" customHeight="1">
      <c r="A859" s="8" t="inlineStr">
        <is>
          <t>17.19.1.6</t>
        </is>
      </c>
      <c r="B859" s="9" t="inlineStr">
        <is>
          <t xml:space="preserve">      Purging trash</t>
        </is>
      </c>
      <c r="C859" s="10">
        <f>HYPERLINK("https://www.ibm.com/docs/en/storage-ceph/9.9.1?topic=images-purging-trash","https://www.ibm.com/docs/en/storage-ceph/9.9.1?topic=images-purging-trash")</f>
        <v/>
      </c>
    </row>
    <row r="860" ht="18" customHeight="1">
      <c r="A860" s="8" t="inlineStr">
        <is>
          <t>17.19.1.7</t>
        </is>
      </c>
      <c r="B860" s="9" t="inlineStr">
        <is>
          <t xml:space="preserve">      Restoring images from trash</t>
        </is>
      </c>
      <c r="C860" s="10">
        <f>HYPERLINK("https://www.ibm.com/docs/en/storage-ceph/9.9.1?topic=images-restoring-from-trash","https://www.ibm.com/docs/en/storage-ceph/9.9.1?topic=images-restoring-from-trash")</f>
        <v/>
      </c>
    </row>
    <row r="861" ht="18" customHeight="1">
      <c r="A861" s="8" t="inlineStr">
        <is>
          <t>17.19.1.8</t>
        </is>
      </c>
      <c r="B861" s="9" t="inlineStr">
        <is>
          <t xml:space="preserve">      Deleting images</t>
        </is>
      </c>
      <c r="C861" s="10">
        <f>HYPERLINK("https://www.ibm.com/docs/en/storage-ceph/9.9.1?topic=images-deleting","https://www.ibm.com/docs/en/storage-ceph/9.9.1?topic=images-deleting")</f>
        <v/>
      </c>
    </row>
    <row r="862" ht="18" customHeight="1">
      <c r="A862" s="8" t="inlineStr">
        <is>
          <t>17.19.1.9</t>
        </is>
      </c>
      <c r="B862" s="9" t="inlineStr">
        <is>
          <t xml:space="preserve">      Deleting namespaces</t>
        </is>
      </c>
      <c r="C862" s="10">
        <f>HYPERLINK("https://www.ibm.com/docs/en/storage-ceph/9.9.1?topic=images-deleting-namespaces","https://www.ibm.com/docs/en/storage-ceph/9.9.1?topic=images-deleting-namespaces")</f>
        <v/>
      </c>
    </row>
    <row r="863" ht="18" customHeight="1">
      <c r="A863" s="8" t="inlineStr">
        <is>
          <t>17.19.1.10</t>
        </is>
      </c>
      <c r="B863" s="9" t="inlineStr">
        <is>
          <t xml:space="preserve">      Creating snapshots of images</t>
        </is>
      </c>
      <c r="C863" s="10">
        <f>HYPERLINK("https://www.ibm.com/docs/en/storage-ceph/9.9.1?topic=images-creating-snapshots","https://www.ibm.com/docs/en/storage-ceph/9.9.1?topic=images-creating-snapshots")</f>
        <v/>
      </c>
    </row>
    <row r="864" ht="18" customHeight="1">
      <c r="A864" s="8" t="inlineStr">
        <is>
          <t>17.19.1.11</t>
        </is>
      </c>
      <c r="B864" s="9" t="inlineStr">
        <is>
          <t xml:space="preserve">      Renaming snapshots of images</t>
        </is>
      </c>
      <c r="C864" s="10">
        <f>HYPERLINK("https://www.ibm.com/docs/en/storage-ceph/9.9.1?topic=images-renaming-snapshots","https://www.ibm.com/docs/en/storage-ceph/9.9.1?topic=images-renaming-snapshots")</f>
        <v/>
      </c>
    </row>
    <row r="865" ht="18" customHeight="1">
      <c r="A865" s="8" t="inlineStr">
        <is>
          <t>17.19.1.12</t>
        </is>
      </c>
      <c r="B865" s="9" t="inlineStr">
        <is>
          <t xml:space="preserve">      Protecting snapshots of images</t>
        </is>
      </c>
      <c r="C865" s="10">
        <f>HYPERLINK("https://www.ibm.com/docs/en/storage-ceph/9.9.1?topic=images-protecting-snapshots","https://www.ibm.com/docs/en/storage-ceph/9.9.1?topic=images-protecting-snapshots")</f>
        <v/>
      </c>
    </row>
    <row r="866" ht="18" customHeight="1">
      <c r="A866" s="8" t="inlineStr">
        <is>
          <t>17.19.1.13</t>
        </is>
      </c>
      <c r="B866" s="9" t="inlineStr">
        <is>
          <t xml:space="preserve">      Cloning snapshots of images</t>
        </is>
      </c>
      <c r="C866" s="10">
        <f>HYPERLINK("https://www.ibm.com/docs/en/storage-ceph/9.9.1?topic=images-cloning-snapshots","https://www.ibm.com/docs/en/storage-ceph/9.9.1?topic=images-cloning-snapshots")</f>
        <v/>
      </c>
    </row>
    <row r="867" ht="18" customHeight="1">
      <c r="A867" s="8" t="inlineStr">
        <is>
          <t>17.19.1.14</t>
        </is>
      </c>
      <c r="B867" s="9" t="inlineStr">
        <is>
          <t xml:space="preserve">      Copying snapshots of images</t>
        </is>
      </c>
      <c r="C867" s="10">
        <f>HYPERLINK("https://www.ibm.com/docs/en/storage-ceph/9.9.1?topic=images-copying-snapshots","https://www.ibm.com/docs/en/storage-ceph/9.9.1?topic=images-copying-snapshots")</f>
        <v/>
      </c>
    </row>
    <row r="868" ht="18" customHeight="1">
      <c r="A868" s="8" t="inlineStr">
        <is>
          <t>17.19.1.15</t>
        </is>
      </c>
      <c r="B868" s="9" t="inlineStr">
        <is>
          <t xml:space="preserve">      Unprotecting snapshots of images</t>
        </is>
      </c>
      <c r="C868" s="10">
        <f>HYPERLINK("https://www.ibm.com/docs/en/storage-ceph/9.9.1?topic=images-unprotecting-snapshots","https://www.ibm.com/docs/en/storage-ceph/9.9.1?topic=images-unprotecting-snapshots")</f>
        <v/>
      </c>
    </row>
    <row r="869" ht="18" customHeight="1">
      <c r="A869" s="8" t="inlineStr">
        <is>
          <t>17.19.1.16</t>
        </is>
      </c>
      <c r="B869" s="9" t="inlineStr">
        <is>
          <t xml:space="preserve">      Rolling back snapshots of images</t>
        </is>
      </c>
      <c r="C869" s="10">
        <f>HYPERLINK("https://www.ibm.com/docs/en/storage-ceph/9.9.1?topic=images-rolling-back-snapshots","https://www.ibm.com/docs/en/storage-ceph/9.9.1?topic=images-rolling-back-snapshots")</f>
        <v/>
      </c>
    </row>
    <row r="870" ht="18" customHeight="1">
      <c r="A870" s="8" t="inlineStr">
        <is>
          <t>17.19.1.17</t>
        </is>
      </c>
      <c r="B870" s="9" t="inlineStr">
        <is>
          <t xml:space="preserve">      Deleting snapshots of images</t>
        </is>
      </c>
      <c r="C870" s="10">
        <f>HYPERLINK("https://www.ibm.com/docs/en/storage-ceph/9.9.1?topic=images-deleting-snapshots","https://www.ibm.com/docs/en/storage-ceph/9.9.1?topic=images-deleting-snapshots")</f>
        <v/>
      </c>
    </row>
    <row r="871" ht="18" customHeight="1">
      <c r="A871" s="8" t="inlineStr">
        <is>
          <t>17.19.2</t>
        </is>
      </c>
      <c r="B871" s="9" t="inlineStr">
        <is>
          <t xml:space="preserve">    Managing mirroring functions</t>
        </is>
      </c>
      <c r="C871" s="10">
        <f>HYPERLINK("https://www.ibm.com/docs/en/storage-ceph/9.9.1?topic=devices-managing-mirroring-functions","https://www.ibm.com/docs/en/storage-ceph/9.9.1?topic=devices-managing-mirroring-functions")</f>
        <v/>
      </c>
    </row>
    <row r="872" ht="18" customHeight="1">
      <c r="A872" s="8" t="inlineStr">
        <is>
          <t>17.19.2.1</t>
        </is>
      </c>
      <c r="B872" s="9" t="inlineStr">
        <is>
          <t xml:space="preserve">      Mirroring view</t>
        </is>
      </c>
      <c r="C872" s="10">
        <f>HYPERLINK("https://www.ibm.com/docs/en/storage-ceph/9.9.1?topic=functions-mirroring-view","https://www.ibm.com/docs/en/storage-ceph/9.9.1?topic=functions-mirroring-view")</f>
        <v/>
      </c>
    </row>
    <row r="873" ht="18" customHeight="1">
      <c r="A873" s="8" t="inlineStr">
        <is>
          <t>17.19.2.2</t>
        </is>
      </c>
      <c r="B873" s="9" t="inlineStr">
        <is>
          <t xml:space="preserve">      Editing mode of pools</t>
        </is>
      </c>
      <c r="C873" s="10">
        <f>HYPERLINK("https://www.ibm.com/docs/en/storage-ceph/9.9.1?topic=functions-editing-mode-pools","https://www.ibm.com/docs/en/storage-ceph/9.9.1?topic=functions-editing-mode-pools")</f>
        <v/>
      </c>
    </row>
    <row r="874" ht="18" customHeight="1">
      <c r="A874" s="8" t="inlineStr">
        <is>
          <t>17.19.2.3</t>
        </is>
      </c>
      <c r="B874" s="9" t="inlineStr">
        <is>
          <t xml:space="preserve">      Adding peer in mirroring</t>
        </is>
      </c>
      <c r="C874" s="10">
        <f>HYPERLINK("https://www.ibm.com/docs/en/storage-ceph/9.9.1?topic=functions-adding-peer-in-mirroring","https://www.ibm.com/docs/en/storage-ceph/9.9.1?topic=functions-adding-peer-in-mirroring")</f>
        <v/>
      </c>
    </row>
    <row r="875" ht="18" customHeight="1">
      <c r="A875" s="8" t="inlineStr">
        <is>
          <t>17.19.2.4</t>
        </is>
      </c>
      <c r="B875" s="9" t="inlineStr">
        <is>
          <t xml:space="preserve">      Editing peer in mirroring</t>
        </is>
      </c>
      <c r="C875" s="10">
        <f>HYPERLINK("https://www.ibm.com/docs/en/storage-ceph/9.9.1?topic=functions-editing-peer-in-mirroring","https://www.ibm.com/docs/en/storage-ceph/9.9.1?topic=functions-editing-peer-in-mirroring")</f>
        <v/>
      </c>
    </row>
    <row r="876" ht="18" customHeight="1">
      <c r="A876" s="8" t="inlineStr">
        <is>
          <t>17.19.2.5</t>
        </is>
      </c>
      <c r="B876" s="9" t="inlineStr">
        <is>
          <t xml:space="preserve">      Deleting peer in mirroring</t>
        </is>
      </c>
      <c r="C876" s="10">
        <f>HYPERLINK("https://www.ibm.com/docs/en/storage-ceph/9.9.1?topic=functions-deleting-peer-in-mirroring","https://www.ibm.com/docs/en/storage-ceph/9.9.1?topic=functions-deleting-peer-in-mirroring")</f>
        <v/>
      </c>
    </row>
    <row r="877" ht="18" customHeight="1">
      <c r="A877" s="5" t="inlineStr">
        <is>
          <t>17.20</t>
        </is>
      </c>
      <c r="B877" s="6" t="inlineStr">
        <is>
          <t xml:space="preserve">  Managing the Ceph NVMe-oF gateway</t>
        </is>
      </c>
      <c r="C877" s="7">
        <f>HYPERLINK("https://www.ibm.com/docs/en/storage-ceph/9.9.1?topic=dashboard-managing-ceph-nvme-gateway","https://www.ibm.com/docs/en/storage-ceph/9.9.1?topic=dashboard-managing-ceph-nvme-gateway")</f>
        <v/>
      </c>
    </row>
    <row r="878" ht="18" customHeight="1">
      <c r="A878" s="8" t="inlineStr">
        <is>
          <t>17.20.1</t>
        </is>
      </c>
      <c r="B878" s="9" t="inlineStr">
        <is>
          <t xml:space="preserve">    Managing the NVMe-oF service</t>
        </is>
      </c>
      <c r="C878" s="10">
        <f>HYPERLINK("https://www.ibm.com/docs/en/storage-ceph/9.9.1?topic=gateway-managing-nvme-service","https://www.ibm.com/docs/en/storage-ceph/9.9.1?topic=gateway-managing-nvme-service")</f>
        <v/>
      </c>
    </row>
    <row r="879" ht="18" customHeight="1">
      <c r="A879" s="8" t="inlineStr">
        <is>
          <t>17.20.1.1</t>
        </is>
      </c>
      <c r="B879" s="9" t="inlineStr">
        <is>
          <t xml:space="preserve">      Managing gateway groups</t>
        </is>
      </c>
      <c r="C879" s="10">
        <f>HYPERLINK("https://www.ibm.com/docs/en/storage-ceph/9.9.1?topic=service-managing-gateway-groups","https://www.ibm.com/docs/en/storage-ceph/9.9.1?topic=service-managing-gateway-groups")</f>
        <v/>
      </c>
    </row>
    <row r="880" ht="18" customHeight="1">
      <c r="A880" s="8" t="inlineStr">
        <is>
          <t>17.20.2</t>
        </is>
      </c>
      <c r="B880" s="9" t="inlineStr">
        <is>
          <t xml:space="preserve">    Managing NVMe-oF subsystems</t>
        </is>
      </c>
      <c r="C880" s="10">
        <f>HYPERLINK("https://www.ibm.com/docs/en/storage-ceph/9.9.1?topic=gateway-managing-nvme-subsystems","https://www.ibm.com/docs/en/storage-ceph/9.9.1?topic=gateway-managing-nvme-subsystems")</f>
        <v/>
      </c>
    </row>
    <row r="881" ht="18" customHeight="1">
      <c r="A881" s="8" t="inlineStr">
        <is>
          <t>17.20.3</t>
        </is>
      </c>
      <c r="B881" s="9" t="inlineStr">
        <is>
          <t xml:space="preserve">    Managing NVMe-oF namespaces</t>
        </is>
      </c>
      <c r="C881" s="10">
        <f>HYPERLINK("https://www.ibm.com/docs/en/storage-ceph/9.9.1?topic=gateway-managing-nvme-namespaces","https://www.ibm.com/docs/en/storage-ceph/9.9.1?topic=gateway-managing-nvme-namespaces")</f>
        <v/>
      </c>
    </row>
    <row r="882" ht="18" customHeight="1">
      <c r="A882" s="8" t="inlineStr">
        <is>
          <t>17.20.4</t>
        </is>
      </c>
      <c r="B882" s="9" t="inlineStr">
        <is>
          <t xml:space="preserve">    Managing NVMe-oF initiators</t>
        </is>
      </c>
      <c r="C882" s="10">
        <f>HYPERLINK("https://www.ibm.com/docs/en/storage-ceph/9.9.1?topic=gateway-managing-nvme-initiators","https://www.ibm.com/docs/en/storage-ceph/9.9.1?topic=gateway-managing-nvme-initiators")</f>
        <v/>
      </c>
    </row>
    <row r="883" ht="18" customHeight="1">
      <c r="A883" s="5" t="inlineStr">
        <is>
          <t>17.21</t>
        </is>
      </c>
      <c r="B883" s="6" t="inlineStr">
        <is>
          <t xml:space="preserve">  Configuring IBM Call Home and IBM Storage Insights</t>
        </is>
      </c>
      <c r="C883" s="7">
        <f>HYPERLINK("https://www.ibm.com/docs/en/storage-ceph/9.9.1?topic=dashboard-configuring-call-home-storage-insights","https://www.ibm.com/docs/en/storage-ceph/9.9.1?topic=dashboard-configuring-call-home-storage-insights")</f>
        <v/>
      </c>
    </row>
    <row r="884" ht="18" customHeight="1">
      <c r="A884" s="8" t="inlineStr">
        <is>
          <t>17.21.1</t>
        </is>
      </c>
      <c r="B884" s="9" t="inlineStr">
        <is>
          <t xml:space="preserve">    Enabling IBM Call Home and IBM Storage Insights</t>
        </is>
      </c>
      <c r="C884" s="10">
        <f>HYPERLINK("https://www.ibm.com/docs/en/storage-ceph/9.9.1?topic=insights-enabling-call-home-storage","https://www.ibm.com/docs/en/storage-ceph/9.9.1?topic=insights-enabling-call-home-storage")</f>
        <v/>
      </c>
    </row>
    <row r="885" ht="18" customHeight="1">
      <c r="A885" s="8" t="inlineStr">
        <is>
          <t>17.21.2</t>
        </is>
      </c>
      <c r="B885" s="9" t="inlineStr">
        <is>
          <t xml:space="preserve">    Disabling Call Home</t>
        </is>
      </c>
      <c r="C885" s="10">
        <f>HYPERLINK("https://www.ibm.com/docs/en/storage-ceph/9.9.1?topic=insights-disabling-call-home","https://www.ibm.com/docs/en/storage-ceph/9.9.1?topic=insights-disabling-call-home")</f>
        <v/>
      </c>
    </row>
    <row r="886" ht="18" customHeight="1">
      <c r="A886" s="8" t="inlineStr">
        <is>
          <t>17.21.3</t>
        </is>
      </c>
      <c r="B886" s="9" t="inlineStr">
        <is>
          <t xml:space="preserve">    Downloading reports</t>
        </is>
      </c>
      <c r="C886" s="10">
        <f>HYPERLINK("https://www.ibm.com/docs/en/storage-ceph/9.9.1?topic=insights-downloading-reports","https://www.ibm.com/docs/en/storage-ceph/9.9.1?topic=insights-downloading-reports")</f>
        <v/>
      </c>
    </row>
    <row r="887" ht="18" customHeight="1">
      <c r="A887" s="8" t="inlineStr">
        <is>
          <t>17.21.4</t>
        </is>
      </c>
      <c r="B887" s="9" t="inlineStr">
        <is>
          <t xml:space="preserve">    Modifying Call Home configuration</t>
        </is>
      </c>
      <c r="C887" s="10">
        <f>HYPERLINK("https://www.ibm.com/docs/en/storage-ceph/9.9.1?topic=insights-modifying-call-home-configuration","https://www.ibm.com/docs/en/storage-ceph/9.9.1?topic=insights-modifying-call-home-configuration")</f>
        <v/>
      </c>
    </row>
    <row r="888" ht="18" customHeight="1">
      <c r="A888" s="5" t="inlineStr">
        <is>
          <t>17.22</t>
        </is>
      </c>
      <c r="B888" s="6" t="inlineStr">
        <is>
          <t xml:space="preserve">  Activating and deactivating telemetry</t>
        </is>
      </c>
      <c r="C888" s="7">
        <f>HYPERLINK("https://www.ibm.com/docs/en/storage-ceph/9.9.1?topic=dashboard-activating-deactivating-telemetry","https://www.ibm.com/docs/en/storage-ceph/9.9.1?topic=dashboard-activating-deactivating-telemetry")</f>
        <v/>
      </c>
    </row>
    <row r="889" ht="18" customHeight="1">
      <c r="A889" s="2" t="inlineStr">
        <is>
          <t>18</t>
        </is>
      </c>
      <c r="B889" s="3" t="inlineStr">
        <is>
          <t>Ceph Object Gateway</t>
        </is>
      </c>
      <c r="C889" s="4">
        <f>HYPERLINK("https://www.ibm.com/docs/en/storage-ceph/9.9.1?topic=ceph-object-gateway","https://www.ibm.com/docs/en/storage-ceph/9.9.1?topic=ceph-object-gateway")</f>
        <v/>
      </c>
    </row>
    <row r="890" ht="18" customHeight="1">
      <c r="A890" s="5" t="inlineStr">
        <is>
          <t>18.1</t>
        </is>
      </c>
      <c r="B890" s="6" t="inlineStr">
        <is>
          <t xml:space="preserve">  Key Factors for deploying Ceph Object Gateway</t>
        </is>
      </c>
      <c r="C890" s="7">
        <f>HYPERLINK("https://www.ibm.com/docs/en/storage-ceph/9.9.1?topic=gateway-key-factors-deploying-ceph-object","https://www.ibm.com/docs/en/storage-ceph/9.9.1?topic=gateway-key-factors-deploying-ceph-object")</f>
        <v/>
      </c>
    </row>
    <row r="891" ht="18" customHeight="1">
      <c r="A891" s="8" t="inlineStr">
        <is>
          <t>18.1.1</t>
        </is>
      </c>
      <c r="B891" s="9" t="inlineStr">
        <is>
          <t xml:space="preserve">    Network Requirements in IBM Storage Ceph</t>
        </is>
      </c>
      <c r="C891" s="10">
        <f>HYPERLINK("https://www.ibm.com/docs/en/storage-ceph/9.9.1?topic=gateway-network-requirements-in-storage-ceph","https://www.ibm.com/docs/en/storage-ceph/9.9.1?topic=gateway-network-requirements-in-storage-ceph")</f>
        <v/>
      </c>
    </row>
    <row r="892" ht="18" customHeight="1">
      <c r="A892" s="8" t="inlineStr">
        <is>
          <t>18.1.2</t>
        </is>
      </c>
      <c r="B892" s="9" t="inlineStr">
        <is>
          <t xml:space="preserve">    Workload Management in IBM Storage Ceph</t>
        </is>
      </c>
      <c r="C892" s="10">
        <f>HYPERLINK("https://www.ibm.com/docs/en/storage-ceph/9.9.1?topic=gateway-workload-management-in-storage-ceph","https://www.ibm.com/docs/en/storage-ceph/9.9.1?topic=gateway-workload-management-in-storage-ceph")</f>
        <v/>
      </c>
    </row>
    <row r="893" ht="18" customHeight="1">
      <c r="A893" s="8" t="inlineStr">
        <is>
          <t>18.1.3</t>
        </is>
      </c>
      <c r="B893" s="9" t="inlineStr">
        <is>
          <t xml:space="preserve">    Basic Considerations for IBM Storage Ceph Deployment</t>
        </is>
      </c>
      <c r="C893" s="10">
        <f>HYPERLINK("https://www.ibm.com/docs/en/storage-ceph/9.9.1?topic=gateway-basic-considerations-storage-ceph-deployment","https://www.ibm.com/docs/en/storage-ceph/9.9.1?topic=gateway-basic-considerations-storage-ceph-deployment")</f>
        <v/>
      </c>
    </row>
    <row r="894" ht="18" customHeight="1">
      <c r="A894" s="8" t="inlineStr">
        <is>
          <t>18.1.4</t>
        </is>
      </c>
      <c r="B894" s="9" t="inlineStr">
        <is>
          <t xml:space="preserve">    Deployment Guidelines</t>
        </is>
      </c>
      <c r="C894" s="10">
        <f>HYPERLINK("https://www.ibm.com/docs/en/storage-ceph/9.9.1?topic=gateway-deployment-guidelines","https://www.ibm.com/docs/en/storage-ceph/9.9.1?topic=gateway-deployment-guidelines")</f>
        <v/>
      </c>
    </row>
    <row r="895" ht="18" customHeight="1">
      <c r="A895" s="8" t="inlineStr">
        <is>
          <t>18.1.4.1</t>
        </is>
      </c>
      <c r="B895" s="9" t="inlineStr">
        <is>
          <t xml:space="preserve">      Administrative data storage</t>
        </is>
      </c>
      <c r="C895" s="10">
        <f>HYPERLINK("https://www.ibm.com/docs/en/storage-ceph/9.9.1?topic=guidelines-administrative-data-storage","https://www.ibm.com/docs/en/storage-ceph/9.9.1?topic=guidelines-administrative-data-storage")</f>
        <v/>
      </c>
    </row>
    <row r="896" ht="18" customHeight="1">
      <c r="A896" s="8" t="inlineStr">
        <is>
          <t>18.1.4.2</t>
        </is>
      </c>
      <c r="B896" s="9" t="inlineStr">
        <is>
          <t xml:space="preserve">      Index pool</t>
        </is>
      </c>
      <c r="C896" s="10">
        <f>HYPERLINK("https://www.ibm.com/docs/en/storage-ceph/9.9.1?topic=guidelines-index-pool","https://www.ibm.com/docs/en/storage-ceph/9.9.1?topic=guidelines-index-pool")</f>
        <v/>
      </c>
    </row>
    <row r="897" ht="18" customHeight="1">
      <c r="A897" s="8" t="inlineStr">
        <is>
          <t>18.1.4.3</t>
        </is>
      </c>
      <c r="B897" s="9" t="inlineStr">
        <is>
          <t xml:space="preserve">      Data pool</t>
        </is>
      </c>
      <c r="C897" s="10">
        <f>HYPERLINK("https://www.ibm.com/docs/en/storage-ceph/9.9.1?topic=guidelines-data-pool","https://www.ibm.com/docs/en/storage-ceph/9.9.1?topic=guidelines-data-pool")</f>
        <v/>
      </c>
    </row>
    <row r="898" ht="18" customHeight="1">
      <c r="A898" s="8" t="inlineStr">
        <is>
          <t>18.1.4.4</t>
        </is>
      </c>
      <c r="B898" s="9" t="inlineStr">
        <is>
          <t xml:space="preserve">      Data extra pool</t>
        </is>
      </c>
      <c r="C898" s="10">
        <f>HYPERLINK("https://www.ibm.com/docs/en/storage-ceph/9.9.1?topic=guidelines-data-extra-pool","https://www.ibm.com/docs/en/storage-ceph/9.9.1?topic=guidelines-data-extra-pool")</f>
        <v/>
      </c>
    </row>
    <row r="899" ht="18" customHeight="1">
      <c r="A899" s="8" t="inlineStr">
        <is>
          <t>18.1.5</t>
        </is>
      </c>
      <c r="B899" s="9" t="inlineStr">
        <is>
          <t xml:space="preserve">    Developing CRUSH hierarchies</t>
        </is>
      </c>
      <c r="C899" s="10">
        <f>HYPERLINK("https://www.ibm.com/docs/en/storage-ceph/9.9.1?topic=gateway-developing-crush-hierarchies","https://www.ibm.com/docs/en/storage-ceph/9.9.1?topic=gateway-developing-crush-hierarchies")</f>
        <v/>
      </c>
    </row>
    <row r="900" ht="18" customHeight="1">
      <c r="A900" s="8" t="inlineStr">
        <is>
          <t>18.1.5.1</t>
        </is>
      </c>
      <c r="B900" s="9" t="inlineStr">
        <is>
          <t xml:space="preserve">      Creating CRUSH roots</t>
        </is>
      </c>
      <c r="C900" s="10">
        <f>HYPERLINK("https://www.ibm.com/docs/en/storage-ceph/9.9.1?topic=hierarchies-creating-crush-roots","https://www.ibm.com/docs/en/storage-ceph/9.9.1?topic=hierarchies-creating-crush-roots")</f>
        <v/>
      </c>
    </row>
    <row r="901" ht="18" customHeight="1">
      <c r="A901" s="8" t="inlineStr">
        <is>
          <t>18.1.5.2</t>
        </is>
      </c>
      <c r="B901" s="9" t="inlineStr">
        <is>
          <t xml:space="preserve">      Using logical host names in a CRUSH map</t>
        </is>
      </c>
      <c r="C901" s="10">
        <f>HYPERLINK("https://www.ibm.com/docs/en/storage-ceph/9.9.1?topic=hierarchies-using-logical-host-names-in-crush-map","https://www.ibm.com/docs/en/storage-ceph/9.9.1?topic=hierarchies-using-logical-host-names-in-crush-map")</f>
        <v/>
      </c>
    </row>
    <row r="902" ht="18" customHeight="1">
      <c r="A902" s="8" t="inlineStr">
        <is>
          <t>18.1.5.3</t>
        </is>
      </c>
      <c r="B902" s="9" t="inlineStr">
        <is>
          <t xml:space="preserve">      Creating CRUSH rules</t>
        </is>
      </c>
      <c r="C902" s="10">
        <f>HYPERLINK("https://www.ibm.com/docs/en/storage-ceph/9.9.1?topic=hierarchies-creating-crush-rules","https://www.ibm.com/docs/en/storage-ceph/9.9.1?topic=hierarchies-creating-crush-rules")</f>
        <v/>
      </c>
    </row>
    <row r="903" ht="18" customHeight="1">
      <c r="A903" s="8" t="inlineStr">
        <is>
          <t>18.1.6</t>
        </is>
      </c>
      <c r="B903" s="9" t="inlineStr">
        <is>
          <t xml:space="preserve">    Multi-site considerations</t>
        </is>
      </c>
      <c r="C903" s="10">
        <f>HYPERLINK("https://www.ibm.com/docs/en/storage-ceph/9.9.1?topic=gateway-multi-site-considerations","https://www.ibm.com/docs/en/storage-ceph/9.9.1?topic=gateway-multi-site-considerations")</f>
        <v/>
      </c>
    </row>
    <row r="904" ht="18" customHeight="1">
      <c r="A904" s="8" t="inlineStr">
        <is>
          <t>18.1.6.1</t>
        </is>
      </c>
      <c r="B904" s="9" t="inlineStr">
        <is>
          <t xml:space="preserve">      Storage sizing</t>
        </is>
      </c>
      <c r="C904" s="10">
        <f>HYPERLINK("https://www.ibm.com/docs/en/storage-ceph/9.9.1?topic=considerations-storage-sizing","https://www.ibm.com/docs/en/storage-ceph/9.9.1?topic=considerations-storage-sizing")</f>
        <v/>
      </c>
    </row>
    <row r="905" ht="18" customHeight="1">
      <c r="A905" s="8" t="inlineStr">
        <is>
          <t>18.1.6.2</t>
        </is>
      </c>
      <c r="B905" s="9" t="inlineStr">
        <is>
          <t xml:space="preserve">      Storage density</t>
        </is>
      </c>
      <c r="C905" s="10">
        <f>HYPERLINK("https://www.ibm.com/docs/en/storage-ceph/9.9.1?topic=considerations-storage-density","https://www.ibm.com/docs/en/storage-ceph/9.9.1?topic=considerations-storage-density")</f>
        <v/>
      </c>
    </row>
    <row r="906" ht="18" customHeight="1">
      <c r="A906" s="8" t="inlineStr">
        <is>
          <t>18.1.6.3</t>
        </is>
      </c>
      <c r="B906" s="9" t="inlineStr">
        <is>
          <t xml:space="preserve">      Disks for the Ceph Monitor nodes</t>
        </is>
      </c>
      <c r="C906" s="10">
        <f>HYPERLINK("https://www.ibm.com/docs/en/storage-ceph/9.9.1?topic=considerations-disks-ceph-monitor-nodes","https://www.ibm.com/docs/en/storage-ceph/9.9.1?topic=considerations-disks-ceph-monitor-nodes")</f>
        <v/>
      </c>
    </row>
    <row r="907" ht="18" customHeight="1">
      <c r="A907" s="8" t="inlineStr">
        <is>
          <t>18.1.7</t>
        </is>
      </c>
      <c r="B907" s="9" t="inlineStr">
        <is>
          <t xml:space="preserve">    Performance adjustments</t>
        </is>
      </c>
      <c r="C907" s="10">
        <f>HYPERLINK("https://www.ibm.com/docs/en/storage-ceph/9.9.1?topic=gateway-performance-adjustments","https://www.ibm.com/docs/en/storage-ceph/9.9.1?topic=gateway-performance-adjustments")</f>
        <v/>
      </c>
    </row>
    <row r="908" ht="18" customHeight="1">
      <c r="A908" s="8" t="inlineStr">
        <is>
          <t>18.1.7.1</t>
        </is>
      </c>
      <c r="B908" s="9" t="inlineStr">
        <is>
          <t xml:space="preserve">      Adjusting backfill and recovery settings</t>
        </is>
      </c>
      <c r="C908" s="10">
        <f>HYPERLINK("https://www.ibm.com/docs/en/storage-ceph/9.9.1?topic=adjustments-adjusting-backfill-recovery-settings","https://www.ibm.com/docs/en/storage-ceph/9.9.1?topic=adjustments-adjusting-backfill-recovery-settings")</f>
        <v/>
      </c>
    </row>
    <row r="909" ht="18" customHeight="1">
      <c r="A909" s="8" t="inlineStr">
        <is>
          <t>18.1.7.2</t>
        </is>
      </c>
      <c r="B909" s="9" t="inlineStr">
        <is>
          <t xml:space="preserve">      Adjusting the cluster map size</t>
        </is>
      </c>
      <c r="C909" s="10">
        <f>HYPERLINK("https://www.ibm.com/docs/en/storage-ceph/9.9.1?topic=adjustments-adjusting-cluster-map-size","https://www.ibm.com/docs/en/storage-ceph/9.9.1?topic=adjustments-adjusting-cluster-map-size")</f>
        <v/>
      </c>
    </row>
    <row r="910" ht="18" customHeight="1">
      <c r="A910" s="8" t="inlineStr">
        <is>
          <t>18.1.7.3</t>
        </is>
      </c>
      <c r="B910" s="9" t="inlineStr">
        <is>
          <t xml:space="preserve">      Adjusting scrubbing</t>
        </is>
      </c>
      <c r="C910" s="10">
        <f>HYPERLINK("https://www.ibm.com/docs/en/storage-ceph/9.9.1?topic=adjustments-adjusting-scrubbing","https://www.ibm.com/docs/en/storage-ceph/9.9.1?topic=adjustments-adjusting-scrubbing")</f>
        <v/>
      </c>
    </row>
    <row r="911" ht="18" customHeight="1">
      <c r="A911" s="8" t="inlineStr">
        <is>
          <t>18.1.7.4</t>
        </is>
      </c>
      <c r="B911" s="9" t="inlineStr">
        <is>
          <t xml:space="preserve">      Increasing scalability</t>
        </is>
      </c>
      <c r="C911" s="10">
        <f>HYPERLINK("https://www.ibm.com/docs/en/storage-ceph/9.9.1?topic=adjustments-increasing-scalability","https://www.ibm.com/docs/en/storage-ceph/9.9.1?topic=adjustments-increasing-scalability")</f>
        <v/>
      </c>
    </row>
    <row r="912" ht="18" customHeight="1">
      <c r="A912" s="8" t="inlineStr">
        <is>
          <t>18.1.8</t>
        </is>
      </c>
      <c r="B912" s="9" t="inlineStr">
        <is>
          <t xml:space="preserve">    Tuning considerations for the Linux kernel when running Ceph</t>
        </is>
      </c>
      <c r="C912" s="10">
        <f>HYPERLINK("https://www.ibm.com/docs/en/storage-ceph/9.9.1?topic=gateway-tuning-considerations-linux-kernel-when-running-ceph","https://www.ibm.com/docs/en/storage-ceph/9.9.1?topic=gateway-tuning-considerations-linux-kernel-when-running-ceph")</f>
        <v/>
      </c>
    </row>
    <row r="913" ht="18" customHeight="1">
      <c r="A913" s="8" t="inlineStr">
        <is>
          <t>18.1.9</t>
        </is>
      </c>
      <c r="B913" s="9" t="inlineStr">
        <is>
          <t xml:space="preserve">    Advantages of colocating Ceph daemons</t>
        </is>
      </c>
      <c r="C913" s="10">
        <f>HYPERLINK("https://www.ibm.com/docs/en/storage-ceph/9.9.1?topic=gateway-advantages-colocating-ceph-daemons","https://www.ibm.com/docs/en/storage-ceph/9.9.1?topic=gateway-advantages-colocating-ceph-daemons")</f>
        <v/>
      </c>
    </row>
    <row r="914" ht="18" customHeight="1">
      <c r="A914" s="5" t="inlineStr">
        <is>
          <t>18.2</t>
        </is>
      </c>
      <c r="B914" s="6" t="inlineStr">
        <is>
          <t xml:space="preserve">  Deployment</t>
        </is>
      </c>
      <c r="C914" s="7">
        <f>HYPERLINK("https://www.ibm.com/docs/en/storage-ceph/9.9.1?topic=gateway-deployment","https://www.ibm.com/docs/en/storage-ceph/9.9.1?topic=gateway-deployment")</f>
        <v/>
      </c>
    </row>
    <row r="915" ht="18" customHeight="1">
      <c r="A915" s="8" t="inlineStr">
        <is>
          <t>18.2.1</t>
        </is>
      </c>
      <c r="B915" s="9" t="inlineStr">
        <is>
          <t xml:space="preserve">    Deploying the Ceph Object Gateway using the command line interface</t>
        </is>
      </c>
      <c r="C915" s="10">
        <f>HYPERLINK("https://www.ibm.com/docs/en/storage-ceph/9.9.1?topic=deployment-deploying-ceph-object-gateway-using-command-line-interface","https://www.ibm.com/docs/en/storage-ceph/9.9.1?topic=deployment-deploying-ceph-object-gateway-using-command-line-interface")</f>
        <v/>
      </c>
    </row>
    <row r="916" ht="18" customHeight="1">
      <c r="A916" s="8" t="inlineStr">
        <is>
          <t>18.2.2</t>
        </is>
      </c>
      <c r="B916" s="9" t="inlineStr">
        <is>
          <t xml:space="preserve">    Deploying the Ceph Object Gateway using the service specification</t>
        </is>
      </c>
      <c r="C916" s="10">
        <f>HYPERLINK("https://www.ibm.com/docs/en/storage-ceph/9.9.1?topic=deployment-deploying-ceph-object-gateway-using-service-specification","https://www.ibm.com/docs/en/storage-ceph/9.9.1?topic=deployment-deploying-ceph-object-gateway-using-service-specification")</f>
        <v/>
      </c>
    </row>
    <row r="917" ht="18" customHeight="1">
      <c r="A917" s="8" t="inlineStr">
        <is>
          <t>18.2.3</t>
        </is>
      </c>
      <c r="B917" s="9" t="inlineStr">
        <is>
          <t xml:space="preserve">    Deploying a multi-site Ceph Object Gateway using the Ceph Orchestrator</t>
        </is>
      </c>
      <c r="C917" s="10">
        <f>HYPERLINK("https://www.ibm.com/docs/en/storage-ceph/9.9.1?topic=deployment-deploying-multi-site-ceph-object-gateway-using-ceph-orchestrator","https://www.ibm.com/docs/en/storage-ceph/9.9.1?topic=deployment-deploying-multi-site-ceph-object-gateway-using-ceph-orchestrator")</f>
        <v/>
      </c>
    </row>
    <row r="918" ht="18" customHeight="1">
      <c r="A918" s="8" t="inlineStr">
        <is>
          <t>18.2.4</t>
        </is>
      </c>
      <c r="B918" s="9" t="inlineStr">
        <is>
          <t xml:space="preserve">    Deploying NFS service with Ceph Object Storage backend</t>
        </is>
      </c>
      <c r="C918" s="10">
        <f>HYPERLINK("https://www.ibm.com/docs/en/storage-ceph/9.9.1?topic=deployment-deploying-nfs-service-ceph-object-storage-backend","https://www.ibm.com/docs/en/storage-ceph/9.9.1?topic=deployment-deploying-nfs-service-ceph-object-storage-backend")</f>
        <v/>
      </c>
    </row>
    <row r="919" ht="18" customHeight="1">
      <c r="A919" s="8" t="inlineStr">
        <is>
          <t>18.2.5</t>
        </is>
      </c>
      <c r="B919" s="9" t="inlineStr">
        <is>
          <t xml:space="preserve">    Removing the Ceph Object Gateway using the Ceph Orchestrator</t>
        </is>
      </c>
      <c r="C919" s="10">
        <f>HYPERLINK("https://www.ibm.com/docs/en/storage-ceph/9.9.1?topic=deployment-removing-ceph-object-gateway-using-ceph-orchestrator","https://www.ibm.com/docs/en/storage-ceph/9.9.1?topic=deployment-removing-ceph-object-gateway-using-ceph-orchestrator")</f>
        <v/>
      </c>
    </row>
    <row r="920" ht="18" customHeight="1">
      <c r="A920" s="8" t="inlineStr">
        <is>
          <t>18.2.6</t>
        </is>
      </c>
      <c r="B920" s="9" t="inlineStr">
        <is>
          <t xml:space="preserve">    Using the Ceph Manager rgw module</t>
        </is>
      </c>
      <c r="C920" s="10">
        <f>HYPERLINK("https://www.ibm.com/docs/en/storage-ceph/9.9.1?topic=deployment-using-ceph-manager-rgw-module","https://www.ibm.com/docs/en/storage-ceph/9.9.1?topic=deployment-using-ceph-manager-rgw-module")</f>
        <v/>
      </c>
    </row>
    <row r="921" ht="18" customHeight="1">
      <c r="A921" s="8" t="inlineStr">
        <is>
          <t>18.2.6.1</t>
        </is>
      </c>
      <c r="B921" s="9" t="inlineStr">
        <is>
          <t xml:space="preserve">      Deploying Ceph Object Gateway using the rgw module</t>
        </is>
      </c>
      <c r="C921" s="10">
        <f>HYPERLINK("https://www.ibm.com/docs/en/storage-ceph/9.9.1?topic=module-deploying-ceph-object-gateway-using-rgw","https://www.ibm.com/docs/en/storage-ceph/9.9.1?topic=module-deploying-ceph-object-gateway-using-rgw")</f>
        <v/>
      </c>
    </row>
    <row r="922" ht="18" customHeight="1">
      <c r="A922" s="8" t="inlineStr">
        <is>
          <t>18.2.6.2</t>
        </is>
      </c>
      <c r="B922" s="9" t="inlineStr">
        <is>
          <t xml:space="preserve">      Deploying Ceph Object Gateway multi-site using the rgw module</t>
        </is>
      </c>
      <c r="C922" s="10">
        <f>HYPERLINK("https://www.ibm.com/docs/en/storage-ceph/9.9.1?topic=ucmrm-deploying-ceph-object-gateway-multi-site-using-rgw-module","https://www.ibm.com/docs/en/storage-ceph/9.9.1?topic=ucmrm-deploying-ceph-object-gateway-multi-site-using-rgw-module")</f>
        <v/>
      </c>
    </row>
    <row r="923" ht="18" customHeight="1">
      <c r="A923" s="8" t="inlineStr">
        <is>
          <t>18.2.7</t>
        </is>
      </c>
      <c r="B923" s="9" t="inlineStr">
        <is>
          <t xml:space="preserve">    High availability for the Ceph Object Gateway</t>
        </is>
      </c>
      <c r="C923" s="10">
        <f>HYPERLINK("https://www.ibm.com/docs/en/storage-ceph/9.9.1?topic=deployment-high-availability-ceph-object-gateway","https://www.ibm.com/docs/en/storage-ceph/9.9.1?topic=deployment-high-availability-ceph-object-gateway")</f>
        <v/>
      </c>
    </row>
    <row r="924" ht="18" customHeight="1">
      <c r="A924" s="8" t="inlineStr">
        <is>
          <t>18.2.7.1</t>
        </is>
      </c>
      <c r="B924" s="9" t="inlineStr">
        <is>
          <t xml:space="preserve">      High availability service</t>
        </is>
      </c>
      <c r="C924" s="10">
        <f>HYPERLINK("https://www.ibm.com/docs/en/storage-ceph/9.9.1?topic=gateway-high-availability-service","https://www.ibm.com/docs/en/storage-ceph/9.9.1?topic=gateway-high-availability-service")</f>
        <v/>
      </c>
    </row>
    <row r="925" ht="18" customHeight="1">
      <c r="A925" s="8" t="inlineStr">
        <is>
          <t>18.2.7.2</t>
        </is>
      </c>
      <c r="B925" s="9" t="inlineStr">
        <is>
          <t xml:space="preserve">      Configuring high availability for the Ceph Object Gateway</t>
        </is>
      </c>
      <c r="C925" s="10">
        <f>HYPERLINK("https://www.ibm.com/docs/en/storage-ceph/9.9.1?topic=gateway-configuring-high-availability-ceph-object","https://www.ibm.com/docs/en/storage-ceph/9.9.1?topic=gateway-configuring-high-availability-ceph-object")</f>
        <v/>
      </c>
    </row>
    <row r="926" ht="18" customHeight="1">
      <c r="A926" s="8" t="inlineStr">
        <is>
          <t>18.2.7.3</t>
        </is>
      </c>
      <c r="B926" s="9" t="inlineStr">
        <is>
          <t xml:space="preserve">      Sharing the namespace with NFS service</t>
        </is>
      </c>
      <c r="C926" s="10">
        <f>HYPERLINK("https://www.ibm.com/docs/en/storage-ceph/9.9.1?topic=gateway-sharing-namespace-nfs-service","https://www.ibm.com/docs/en/storage-ceph/9.9.1?topic=gateway-sharing-namespace-nfs-service")</f>
        <v/>
      </c>
    </row>
    <row r="927" ht="18" customHeight="1">
      <c r="A927" s="8" t="inlineStr">
        <is>
          <t>18.2.8</t>
        </is>
      </c>
      <c r="B927" s="9" t="inlineStr">
        <is>
          <t xml:space="preserve">    Adjusting logging and debugging output</t>
        </is>
      </c>
      <c r="C927" s="10">
        <f>HYPERLINK("https://www.ibm.com/docs/en/storage-ceph/9.9.1?topic=deployment-adjusting-logging-debugging-output","https://www.ibm.com/docs/en/storage-ceph/9.9.1?topic=deployment-adjusting-logging-debugging-output")</f>
        <v/>
      </c>
    </row>
    <row r="928" ht="18" customHeight="1">
      <c r="A928" s="8" t="inlineStr">
        <is>
          <t>18.2.9</t>
        </is>
      </c>
      <c r="B928" s="9" t="inlineStr">
        <is>
          <t xml:space="preserve">    Configuration</t>
        </is>
      </c>
      <c r="C928" s="10">
        <f>HYPERLINK("https://www.ibm.com/docs/en/storage-ceph/9.9.1?topic=deployment-configuration","https://www.ibm.com/docs/en/storage-ceph/9.9.1?topic=deployment-configuration")</f>
        <v/>
      </c>
    </row>
    <row r="929" ht="18" customHeight="1">
      <c r="A929" s="8" t="inlineStr">
        <is>
          <t>18.2.9.1</t>
        </is>
      </c>
      <c r="B929" s="9" t="inlineStr">
        <is>
          <t xml:space="preserve">      Add a wildcard to the DNS</t>
        </is>
      </c>
      <c r="C929" s="10">
        <f>HYPERLINK("https://www.ibm.com/docs/en/storage-ceph/9.9.1?topic=configuration-add-wildcard-dns","https://www.ibm.com/docs/en/storage-ceph/9.9.1?topic=configuration-add-wildcard-dns")</f>
        <v/>
      </c>
    </row>
    <row r="930" ht="18" customHeight="1">
      <c r="A930" s="8" t="inlineStr">
        <is>
          <t>18.2.9.2</t>
        </is>
      </c>
      <c r="B930" s="9" t="inlineStr">
        <is>
          <t xml:space="preserve">      Beast front-end web server</t>
        </is>
      </c>
      <c r="C930" s="10">
        <f>HYPERLINK("https://www.ibm.com/docs/en/storage-ceph/9.9.1?topic=configuration-beast-front-end-web-server","https://www.ibm.com/docs/en/storage-ceph/9.9.1?topic=configuration-beast-front-end-web-server")</f>
        <v/>
      </c>
    </row>
    <row r="931" ht="18" customHeight="1">
      <c r="A931" s="8" t="inlineStr">
        <is>
          <t>18.2.9.2.1</t>
        </is>
      </c>
      <c r="B931" s="9" t="inlineStr">
        <is>
          <t xml:space="preserve">        Beast configuration options</t>
        </is>
      </c>
      <c r="C931" s="10">
        <f>HYPERLINK("https://www.ibm.com/docs/en/storage-ceph/9.9.1?topic=server-beast-configuration-options","https://www.ibm.com/docs/en/storage-ceph/9.9.1?topic=server-beast-configuration-options")</f>
        <v/>
      </c>
    </row>
    <row r="932" ht="18" customHeight="1">
      <c r="A932" s="8" t="inlineStr">
        <is>
          <t>18.2.9.2.2</t>
        </is>
      </c>
      <c r="B932" s="9" t="inlineStr">
        <is>
          <t xml:space="preserve">        Configuring HTTPS</t>
        </is>
      </c>
      <c r="C932" s="10">
        <f>HYPERLINK("https://www.ibm.com/docs/en/storage-ceph/9.9.1?topic=server-configuring-https","https://www.ibm.com/docs/en/storage-ceph/9.9.1?topic=server-configuring-https")</f>
        <v/>
      </c>
    </row>
    <row r="933" ht="18" customHeight="1">
      <c r="A933" s="8" t="inlineStr">
        <is>
          <t>18.2.9.2.2.1</t>
        </is>
      </c>
      <c r="B933" s="9" t="inlineStr">
        <is>
          <t xml:space="preserve">          Deploying self-signed cephadm certificates with SAN configuration</t>
        </is>
      </c>
      <c r="C933" s="10">
        <f>HYPERLINK("https://www.ibm.com/docs/en/storage-ceph/9.9.1?topic=https-deploying-self-signed-cephadm-certificates-san-configuration","https://www.ibm.com/docs/en/storage-ceph/9.9.1?topic=https-deploying-self-signed-cephadm-certificates-san-configuration")</f>
        <v/>
      </c>
    </row>
    <row r="934" ht="18" customHeight="1">
      <c r="A934" s="8" t="inlineStr">
        <is>
          <t>18.2.9.2.2.2</t>
        </is>
      </c>
      <c r="B934" s="9" t="inlineStr">
        <is>
          <t xml:space="preserve">          Configuring RGW multi-site with HTTPS using cephadm</t>
        </is>
      </c>
      <c r="C934" s="10">
        <f>HYPERLINK("https://www.ibm.com/docs/en/storage-ceph/9.9.1?topic=https-configuring-rgw-multi-site-using-cephadm","https://www.ibm.com/docs/en/storage-ceph/9.9.1?topic=https-configuring-rgw-multi-site-using-cephadm")</f>
        <v/>
      </c>
    </row>
    <row r="935" ht="18" customHeight="1">
      <c r="A935" s="8" t="inlineStr">
        <is>
          <t>18.2.9.3</t>
        </is>
      </c>
      <c r="B935" s="9" t="inlineStr">
        <is>
          <t xml:space="preserve">      D3N Data Cache</t>
        </is>
      </c>
      <c r="C935" s="10">
        <f>HYPERLINK("https://www.ibm.com/docs/en/storage-ceph/9.9.1?topic=configuration-d3n-data-cache","https://www.ibm.com/docs/en/storage-ceph/9.9.1?topic=configuration-d3n-data-cache")</f>
        <v/>
      </c>
    </row>
    <row r="936" ht="18" customHeight="1">
      <c r="A936" s="8" t="inlineStr">
        <is>
          <t>18.2.9.3.1</t>
        </is>
      </c>
      <c r="B936" s="9" t="inlineStr">
        <is>
          <t xml:space="preserve">        Adding D3N cache directory</t>
        </is>
      </c>
      <c r="C936" s="10">
        <f>HYPERLINK("https://www.ibm.com/docs/en/storage-ceph/9.9.1?topic=cache-adding-d3n-directory","https://www.ibm.com/docs/en/storage-ceph/9.9.1?topic=cache-adding-d3n-directory")</f>
        <v/>
      </c>
    </row>
    <row r="937" ht="18" customHeight="1">
      <c r="A937" s="8" t="inlineStr">
        <is>
          <t>18.2.9.3.2</t>
        </is>
      </c>
      <c r="B937" s="9" t="inlineStr">
        <is>
          <t xml:space="preserve">        Configuring D3N</t>
        </is>
      </c>
      <c r="C937" s="10">
        <f>HYPERLINK("https://www.ibm.com/docs/en/storage-ceph/9.9.1?topic=cache-configuring-d3n","https://www.ibm.com/docs/en/storage-ceph/9.9.1?topic=cache-configuring-d3n")</f>
        <v/>
      </c>
    </row>
    <row r="938" ht="18" customHeight="1">
      <c r="A938" s="8" t="inlineStr">
        <is>
          <t>18.2.9.4</t>
        </is>
      </c>
      <c r="B938" s="9" t="inlineStr">
        <is>
          <t xml:space="preserve">      Multi-site Ceph Object Gateway command line usage</t>
        </is>
      </c>
      <c r="C938" s="10">
        <f>HYPERLINK("https://www.ibm.com/docs/en/storage-ceph/9.9.1?topic=configuration-multi-site-ceph-object-gateway-command-line-usage","https://www.ibm.com/docs/en/storage-ceph/9.9.1?topic=configuration-multi-site-ceph-object-gateway-command-line-usage")</f>
        <v/>
      </c>
    </row>
    <row r="939" ht="18" customHeight="1">
      <c r="A939" s="8" t="inlineStr">
        <is>
          <t>18.2.9.4.1</t>
        </is>
      </c>
      <c r="B939" s="9" t="inlineStr">
        <is>
          <t xml:space="preserve">        Realms</t>
        </is>
      </c>
      <c r="C939" s="10">
        <f>HYPERLINK("https://www.ibm.com/docs/en/storage-ceph/9.9.1?topic=usage-realms","https://www.ibm.com/docs/en/storage-ceph/9.9.1?topic=usage-realms")</f>
        <v/>
      </c>
    </row>
    <row r="940" ht="18" customHeight="1">
      <c r="A940" s="8" t="inlineStr">
        <is>
          <t>18.2.9.4.1.1</t>
        </is>
      </c>
      <c r="B940" s="9" t="inlineStr">
        <is>
          <t xml:space="preserve">          Creating a realm</t>
        </is>
      </c>
      <c r="C940" s="10">
        <f>HYPERLINK("https://www.ibm.com/docs/en/storage-ceph/9.9.1?topic=realms-creating-realm","https://www.ibm.com/docs/en/storage-ceph/9.9.1?topic=realms-creating-realm")</f>
        <v/>
      </c>
    </row>
    <row r="941" ht="18" customHeight="1">
      <c r="A941" s="8" t="inlineStr">
        <is>
          <t>18.2.9.4.1.2</t>
        </is>
      </c>
      <c r="B941" s="9" t="inlineStr">
        <is>
          <t xml:space="preserve">          Deleting a realm</t>
        </is>
      </c>
      <c r="C941" s="10">
        <f>HYPERLINK("https://www.ibm.com/docs/en/storage-ceph/9.9.1?topic=realms-deleting-realm","https://www.ibm.com/docs/en/storage-ceph/9.9.1?topic=realms-deleting-realm")</f>
        <v/>
      </c>
    </row>
    <row r="942" ht="18" customHeight="1">
      <c r="A942" s="8" t="inlineStr">
        <is>
          <t>18.2.9.4.1.3</t>
        </is>
      </c>
      <c r="B942" s="9" t="inlineStr">
        <is>
          <t xml:space="preserve">          Getting a realm</t>
        </is>
      </c>
      <c r="C942" s="10">
        <f>HYPERLINK("https://www.ibm.com/docs/en/storage-ceph/9.9.1?topic=realms-getting-realm","https://www.ibm.com/docs/en/storage-ceph/9.9.1?topic=realms-getting-realm")</f>
        <v/>
      </c>
    </row>
    <row r="943" ht="18" customHeight="1">
      <c r="A943" s="8" t="inlineStr">
        <is>
          <t>18.2.9.4.1.4</t>
        </is>
      </c>
      <c r="B943" s="9" t="inlineStr">
        <is>
          <t xml:space="preserve">          Listing realms</t>
        </is>
      </c>
      <c r="C943" s="10">
        <f>HYPERLINK("https://www.ibm.com/docs/en/storage-ceph/9.9.1?topic=realms-listing","https://www.ibm.com/docs/en/storage-ceph/9.9.1?topic=realms-listing")</f>
        <v/>
      </c>
    </row>
    <row r="944" ht="18" customHeight="1">
      <c r="A944" s="8" t="inlineStr">
        <is>
          <t>18.2.9.4.1.5</t>
        </is>
      </c>
      <c r="B944" s="9" t="inlineStr">
        <is>
          <t xml:space="preserve">          Setting a realm</t>
        </is>
      </c>
      <c r="C944" s="10">
        <f>HYPERLINK("https://www.ibm.com/docs/en/storage-ceph/9.9.1?topic=realms-setting-realm","https://www.ibm.com/docs/en/storage-ceph/9.9.1?topic=realms-setting-realm")</f>
        <v/>
      </c>
    </row>
    <row r="945" ht="18" customHeight="1">
      <c r="A945" s="8" t="inlineStr">
        <is>
          <t>18.2.9.4.1.6</t>
        </is>
      </c>
      <c r="B945" s="9" t="inlineStr">
        <is>
          <t xml:space="preserve">          Listing realm periods</t>
        </is>
      </c>
      <c r="C945" s="10">
        <f>HYPERLINK("https://www.ibm.com/docs/en/storage-ceph/9.9.1?topic=realms-listing-realm-periods","https://www.ibm.com/docs/en/storage-ceph/9.9.1?topic=realms-listing-realm-periods")</f>
        <v/>
      </c>
    </row>
    <row r="946" ht="18" customHeight="1">
      <c r="A946" s="8" t="inlineStr">
        <is>
          <t>18.2.9.4.1.7</t>
        </is>
      </c>
      <c r="B946" s="9" t="inlineStr">
        <is>
          <t xml:space="preserve">          Pulling a realm</t>
        </is>
      </c>
      <c r="C946" s="10">
        <f>HYPERLINK("https://www.ibm.com/docs/en/storage-ceph/9.9.1?topic=realms-pulling-realm","https://www.ibm.com/docs/en/storage-ceph/9.9.1?topic=realms-pulling-realm")</f>
        <v/>
      </c>
    </row>
    <row r="947" ht="18" customHeight="1">
      <c r="A947" s="8" t="inlineStr">
        <is>
          <t>18.2.9.4.1.8</t>
        </is>
      </c>
      <c r="B947" s="9" t="inlineStr">
        <is>
          <t xml:space="preserve">          Renaming a realm</t>
        </is>
      </c>
      <c r="C947" s="10">
        <f>HYPERLINK("https://www.ibm.com/docs/en/storage-ceph/9.9.1?topic=realms-renaming-realm","https://www.ibm.com/docs/en/storage-ceph/9.9.1?topic=realms-renaming-realm")</f>
        <v/>
      </c>
    </row>
    <row r="948" ht="18" customHeight="1">
      <c r="A948" s="8" t="inlineStr">
        <is>
          <t>18.2.9.4.2</t>
        </is>
      </c>
      <c r="B948" s="9" t="inlineStr">
        <is>
          <t xml:space="preserve">        Zone groups</t>
        </is>
      </c>
      <c r="C948" s="10">
        <f>HYPERLINK("https://www.ibm.com/docs/en/storage-ceph/9.9.1?topic=usage-zone-groups","https://www.ibm.com/docs/en/storage-ceph/9.9.1?topic=usage-zone-groups")</f>
        <v/>
      </c>
    </row>
    <row r="949" ht="18" customHeight="1">
      <c r="A949" s="8" t="inlineStr">
        <is>
          <t>18.2.9.4.2.1</t>
        </is>
      </c>
      <c r="B949" s="9" t="inlineStr">
        <is>
          <t xml:space="preserve">          Creating a zone group</t>
        </is>
      </c>
      <c r="C949" s="10">
        <f>HYPERLINK("https://www.ibm.com/docs/en/storage-ceph/9.9.1?topic=groups-creating-zone-group","https://www.ibm.com/docs/en/storage-ceph/9.9.1?topic=groups-creating-zone-group")</f>
        <v/>
      </c>
    </row>
    <row r="950" ht="18" customHeight="1">
      <c r="A950" s="8" t="inlineStr">
        <is>
          <t>18.2.9.4.2.2</t>
        </is>
      </c>
      <c r="B950" s="9" t="inlineStr">
        <is>
          <t xml:space="preserve">          Renaming a zone group</t>
        </is>
      </c>
      <c r="C950" s="10">
        <f>HYPERLINK("https://www.ibm.com/docs/en/storage-ceph/9.9.1?topic=groups-renaming-zone-group","https://www.ibm.com/docs/en/storage-ceph/9.9.1?topic=groups-renaming-zone-group")</f>
        <v/>
      </c>
    </row>
    <row r="951" ht="18" customHeight="1">
      <c r="A951" s="8" t="inlineStr">
        <is>
          <t>18.2.9.4.2.3</t>
        </is>
      </c>
      <c r="B951" s="9" t="inlineStr">
        <is>
          <t xml:space="preserve">          Deleting a zone group</t>
        </is>
      </c>
      <c r="C951" s="10">
        <f>HYPERLINK("https://www.ibm.com/docs/en/storage-ceph/9.9.1?topic=groups-deleting-zone-group","https://www.ibm.com/docs/en/storage-ceph/9.9.1?topic=groups-deleting-zone-group")</f>
        <v/>
      </c>
    </row>
    <row r="952" ht="18" customHeight="1">
      <c r="A952" s="8" t="inlineStr">
        <is>
          <t>18.2.9.4.2.4</t>
        </is>
      </c>
      <c r="B952" s="9" t="inlineStr">
        <is>
          <t xml:space="preserve">          Listing zone groups</t>
        </is>
      </c>
      <c r="C952" s="10">
        <f>HYPERLINK("https://www.ibm.com/docs/en/storage-ceph/9.9.1?topic=groups-listing-zone","https://www.ibm.com/docs/en/storage-ceph/9.9.1?topic=groups-listing-zone")</f>
        <v/>
      </c>
    </row>
    <row r="953" ht="18" customHeight="1">
      <c r="A953" s="8" t="inlineStr">
        <is>
          <t>18.2.9.4.2.5</t>
        </is>
      </c>
      <c r="B953" s="9" t="inlineStr">
        <is>
          <t xml:space="preserve">          Getting a zone group</t>
        </is>
      </c>
      <c r="C953" s="10">
        <f>HYPERLINK("https://www.ibm.com/docs/en/storage-ceph/9.9.1?topic=groups-getting-zone-group","https://www.ibm.com/docs/en/storage-ceph/9.9.1?topic=groups-getting-zone-group")</f>
        <v/>
      </c>
    </row>
    <row r="954" ht="18" customHeight="1">
      <c r="A954" s="8" t="inlineStr">
        <is>
          <t>18.2.9.4.2.6</t>
        </is>
      </c>
      <c r="B954" s="9" t="inlineStr">
        <is>
          <t xml:space="preserve">          Setting a zone group map</t>
        </is>
      </c>
      <c r="C954" s="10">
        <f>HYPERLINK("https://www.ibm.com/docs/en/storage-ceph/9.9.1?topic=groups-setting-zone-group-map","https://www.ibm.com/docs/en/storage-ceph/9.9.1?topic=groups-setting-zone-group-map")</f>
        <v/>
      </c>
    </row>
    <row r="955" ht="18" customHeight="1">
      <c r="A955" s="8" t="inlineStr">
        <is>
          <t>18.2.9.4.2.7</t>
        </is>
      </c>
      <c r="B955" s="9" t="inlineStr">
        <is>
          <t xml:space="preserve">          Setting a zone group</t>
        </is>
      </c>
      <c r="C955" s="10">
        <f>HYPERLINK("https://www.ibm.com/docs/en/storage-ceph/9.9.1?topic=groups-setting-zone-group","https://www.ibm.com/docs/en/storage-ceph/9.9.1?topic=groups-setting-zone-group")</f>
        <v/>
      </c>
    </row>
    <row r="956" ht="18" customHeight="1">
      <c r="A956" s="8" t="inlineStr">
        <is>
          <t>18.2.9.4.3</t>
        </is>
      </c>
      <c r="B956" s="9" t="inlineStr">
        <is>
          <t xml:space="preserve">        Zones</t>
        </is>
      </c>
      <c r="C956" s="10">
        <f>HYPERLINK("https://www.ibm.com/docs/en/storage-ceph/9.9.1?topic=usage-zones","https://www.ibm.com/docs/en/storage-ceph/9.9.1?topic=usage-zones")</f>
        <v/>
      </c>
    </row>
    <row r="957" ht="18" customHeight="1">
      <c r="A957" s="8" t="inlineStr">
        <is>
          <t>18.2.9.4.3.1</t>
        </is>
      </c>
      <c r="B957" s="9" t="inlineStr">
        <is>
          <t xml:space="preserve">          Creating a zone</t>
        </is>
      </c>
      <c r="C957" s="10">
        <f>HYPERLINK("https://www.ibm.com/docs/en/storage-ceph/9.9.1?topic=zones-creating-zone","https://www.ibm.com/docs/en/storage-ceph/9.9.1?topic=zones-creating-zone")</f>
        <v/>
      </c>
    </row>
    <row r="958" ht="18" customHeight="1">
      <c r="A958" s="8" t="inlineStr">
        <is>
          <t>18.2.9.4.3.2</t>
        </is>
      </c>
      <c r="B958" s="9" t="inlineStr">
        <is>
          <t xml:space="preserve">          Deleting a zone</t>
        </is>
      </c>
      <c r="C958" s="10">
        <f>HYPERLINK("https://www.ibm.com/docs/en/storage-ceph/9.9.1?topic=zones-deleting-zone","https://www.ibm.com/docs/en/storage-ceph/9.9.1?topic=zones-deleting-zone")</f>
        <v/>
      </c>
    </row>
    <row r="959" ht="18" customHeight="1">
      <c r="A959" s="8" t="inlineStr">
        <is>
          <t>18.2.9.4.3.3</t>
        </is>
      </c>
      <c r="B959" s="9" t="inlineStr">
        <is>
          <t xml:space="preserve">          Modifying a zone</t>
        </is>
      </c>
      <c r="C959" s="10">
        <f>HYPERLINK("https://www.ibm.com/docs/en/storage-ceph/9.9.1?topic=zones-modifying-zone","https://www.ibm.com/docs/en/storage-ceph/9.9.1?topic=zones-modifying-zone")</f>
        <v/>
      </c>
    </row>
    <row r="960" ht="18" customHeight="1">
      <c r="A960" s="8" t="inlineStr">
        <is>
          <t>18.2.9.4.3.4</t>
        </is>
      </c>
      <c r="B960" s="9" t="inlineStr">
        <is>
          <t xml:space="preserve">          Listing zones</t>
        </is>
      </c>
      <c r="C960" s="10">
        <f>HYPERLINK("https://www.ibm.com/docs/en/storage-ceph/9.9.1?topic=zones-listing","https://www.ibm.com/docs/en/storage-ceph/9.9.1?topic=zones-listing")</f>
        <v/>
      </c>
    </row>
    <row r="961" ht="18" customHeight="1">
      <c r="A961" s="8" t="inlineStr">
        <is>
          <t>18.2.9.4.3.5</t>
        </is>
      </c>
      <c r="B961" s="9" t="inlineStr">
        <is>
          <t xml:space="preserve">          Getting a zone</t>
        </is>
      </c>
      <c r="C961" s="10">
        <f>HYPERLINK("https://www.ibm.com/docs/en/storage-ceph/9.9.1?topic=zones-getting-zone","https://www.ibm.com/docs/en/storage-ceph/9.9.1?topic=zones-getting-zone")</f>
        <v/>
      </c>
    </row>
    <row r="962" ht="18" customHeight="1">
      <c r="A962" s="8" t="inlineStr">
        <is>
          <t>18.2.9.4.3.6</t>
        </is>
      </c>
      <c r="B962" s="9" t="inlineStr">
        <is>
          <t xml:space="preserve">          Setting a zone</t>
        </is>
      </c>
      <c r="C962" s="10">
        <f>HYPERLINK("https://www.ibm.com/docs/en/storage-ceph/9.9.1?topic=zones-setting-zone","https://www.ibm.com/docs/en/storage-ceph/9.9.1?topic=zones-setting-zone")</f>
        <v/>
      </c>
    </row>
    <row r="963" ht="18" customHeight="1">
      <c r="A963" s="8" t="inlineStr">
        <is>
          <t>18.2.9.4.3.7</t>
        </is>
      </c>
      <c r="B963" s="9" t="inlineStr">
        <is>
          <t xml:space="preserve">          Renaming a zone</t>
        </is>
      </c>
      <c r="C963" s="10">
        <f>HYPERLINK("https://www.ibm.com/docs/en/storage-ceph/9.9.1?topic=zones-renaming-zone","https://www.ibm.com/docs/en/storage-ceph/9.9.1?topic=zones-renaming-zone")</f>
        <v/>
      </c>
    </row>
    <row r="964" ht="18" customHeight="1">
      <c r="A964" s="8" t="inlineStr">
        <is>
          <t>18.2.9.4.3.8</t>
        </is>
      </c>
      <c r="B964" s="9" t="inlineStr">
        <is>
          <t xml:space="preserve">          Adding a zone to a zone group</t>
        </is>
      </c>
      <c r="C964" s="10">
        <f>HYPERLINK("https://www.ibm.com/docs/en/storage-ceph/9.9.1?topic=zones-adding-zone-zone-group","https://www.ibm.com/docs/en/storage-ceph/9.9.1?topic=zones-adding-zone-zone-group")</f>
        <v/>
      </c>
    </row>
    <row r="965" ht="18" customHeight="1">
      <c r="A965" s="8" t="inlineStr">
        <is>
          <t>18.2.9.4.3.9</t>
        </is>
      </c>
      <c r="B965" s="9" t="inlineStr">
        <is>
          <t xml:space="preserve">          Removing a zone from a zone group</t>
        </is>
      </c>
      <c r="C965" s="10">
        <f>HYPERLINK("https://www.ibm.com/docs/en/storage-ceph/9.9.1?topic=zones-removing-zone-from-zone-group","https://www.ibm.com/docs/en/storage-ceph/9.9.1?topic=zones-removing-zone-from-zone-group")</f>
        <v/>
      </c>
    </row>
    <row r="966" ht="18" customHeight="1">
      <c r="A966" s="5" t="inlineStr">
        <is>
          <t>18.3</t>
        </is>
      </c>
      <c r="B966" s="6" t="inlineStr">
        <is>
          <t xml:space="preserve">  Multi-site configuration and administration</t>
        </is>
      </c>
      <c r="C966" s="7">
        <f>HYPERLINK("https://www.ibm.com/docs/en/storage-ceph/9.9.1?topic=gateway-multi-site-configuration-administration","https://www.ibm.com/docs/en/storage-ceph/9.9.1?topic=gateway-multi-site-configuration-administration")</f>
        <v/>
      </c>
    </row>
    <row r="967" ht="18" customHeight="1">
      <c r="A967" s="8" t="inlineStr">
        <is>
          <t>18.3.1</t>
        </is>
      </c>
      <c r="B967" s="9" t="inlineStr">
        <is>
          <t xml:space="preserve">    Requirements and assumptions</t>
        </is>
      </c>
      <c r="C967" s="10">
        <f>HYPERLINK("https://www.ibm.com/docs/en/storage-ceph/9.9.1?topic=administration-requirements-assumptions","https://www.ibm.com/docs/en/storage-ceph/9.9.1?topic=administration-requirements-assumptions")</f>
        <v/>
      </c>
    </row>
    <row r="968" ht="18" customHeight="1">
      <c r="A968" s="8" t="inlineStr">
        <is>
          <t>18.3.2</t>
        </is>
      </c>
      <c r="B968" s="9" t="inlineStr">
        <is>
          <t xml:space="preserve">    Pools</t>
        </is>
      </c>
      <c r="C968" s="10">
        <f>HYPERLINK("https://www.ibm.com/docs/en/storage-ceph/9.9.1?topic=administration-pools","https://www.ibm.com/docs/en/storage-ceph/9.9.1?topic=administration-pools")</f>
        <v/>
      </c>
    </row>
    <row r="969" ht="18" customHeight="1">
      <c r="A969" s="8" t="inlineStr">
        <is>
          <t>18.3.3</t>
        </is>
      </c>
      <c r="B969" s="9" t="inlineStr">
        <is>
          <t xml:space="preserve">    Migrating a single site system to multi-site</t>
        </is>
      </c>
      <c r="C969" s="10">
        <f>HYPERLINK("https://www.ibm.com/docs/en/storage-ceph/9.9.1?topic=administration-migrating-single-site-system-multi-site","https://www.ibm.com/docs/en/storage-ceph/9.9.1?topic=administration-migrating-single-site-system-multi-site")</f>
        <v/>
      </c>
    </row>
    <row r="970" ht="18" customHeight="1">
      <c r="A970" s="8" t="inlineStr">
        <is>
          <t>18.3.4</t>
        </is>
      </c>
      <c r="B970" s="9" t="inlineStr">
        <is>
          <t xml:space="preserve">    Establishing a secondary zone</t>
        </is>
      </c>
      <c r="C970" s="10">
        <f>HYPERLINK("https://www.ibm.com/docs/en/storage-ceph/9.9.1?topic=administration-establishing-secondary-zone","https://www.ibm.com/docs/en/storage-ceph/9.9.1?topic=administration-establishing-secondary-zone")</f>
        <v/>
      </c>
    </row>
    <row r="971" ht="18" customHeight="1">
      <c r="A971" s="8" t="inlineStr">
        <is>
          <t>18.3.4.1</t>
        </is>
      </c>
      <c r="B971" s="9" t="inlineStr">
        <is>
          <t xml:space="preserve">      Configuring the archive zone</t>
        </is>
      </c>
      <c r="C971" s="10">
        <f>HYPERLINK("https://www.ibm.com/docs/en/storage-ceph/9.9.1?topic=zone-configuring-archive","https://www.ibm.com/docs/en/storage-ceph/9.9.1?topic=zone-configuring-archive")</f>
        <v/>
      </c>
    </row>
    <row r="972" ht="18" customHeight="1">
      <c r="A972" s="8" t="inlineStr">
        <is>
          <t>18.3.4.1.1</t>
        </is>
      </c>
      <c r="B972" s="9" t="inlineStr">
        <is>
          <t xml:space="preserve">        Deleting objects in archive zone</t>
        </is>
      </c>
      <c r="C972" s="10">
        <f>HYPERLINK("https://www.ibm.com/docs/en/storage-ceph/9.9.1?topic=zone-deleting-objects-in-archive","https://www.ibm.com/docs/en/storage-ceph/9.9.1?topic=zone-deleting-objects-in-archive")</f>
        <v/>
      </c>
    </row>
    <row r="973" ht="18" customHeight="1">
      <c r="A973" s="8" t="inlineStr">
        <is>
          <t>18.3.4.2</t>
        </is>
      </c>
      <c r="B973" s="9" t="inlineStr">
        <is>
          <t xml:space="preserve">      Failover and disaster recovery</t>
        </is>
      </c>
      <c r="C973" s="10">
        <f>HYPERLINK("https://www.ibm.com/docs/en/storage-ceph/9.9.1?topic=zone-failover-disaster-recovery","https://www.ibm.com/docs/en/storage-ceph/9.9.1?topic=zone-failover-disaster-recovery")</f>
        <v/>
      </c>
    </row>
    <row r="974" ht="18" customHeight="1">
      <c r="A974" s="8" t="inlineStr">
        <is>
          <t>18.3.5</t>
        </is>
      </c>
      <c r="B974" s="9" t="inlineStr">
        <is>
          <t xml:space="preserve">    3-site failover and disaster recovery</t>
        </is>
      </c>
      <c r="C974" s="10">
        <f>HYPERLINK("https://www.ibm.com/docs/en/storage-ceph/9.9.1?topic=administration-3-site-failover-disaster-recovery","https://www.ibm.com/docs/en/storage-ceph/9.9.1?topic=administration-3-site-failover-disaster-recovery")</f>
        <v/>
      </c>
    </row>
    <row r="975" ht="18" customHeight="1">
      <c r="A975" s="8" t="inlineStr">
        <is>
          <t>18.3.6</t>
        </is>
      </c>
      <c r="B975" s="9" t="inlineStr">
        <is>
          <t xml:space="preserve">    Configuring multiple realms in the same storage cluster</t>
        </is>
      </c>
      <c r="C975" s="10">
        <f>HYPERLINK("https://www.ibm.com/docs/en/storage-ceph/9.9.1?topic=administration-configuring-multiple-realms-in-same-storage-cluster","https://www.ibm.com/docs/en/storage-ceph/9.9.1?topic=administration-configuring-multiple-realms-in-same-storage-cluster")</f>
        <v/>
      </c>
    </row>
    <row r="976" ht="18" customHeight="1">
      <c r="A976" s="8" t="inlineStr">
        <is>
          <t>18.3.7</t>
        </is>
      </c>
      <c r="B976" s="9" t="inlineStr">
        <is>
          <t xml:space="preserve">    Using multi-site sync policies</t>
        </is>
      </c>
      <c r="C976" s="10">
        <f>HYPERLINK("https://www.ibm.com/docs/en/storage-ceph/9.9.1?topic=administration-using-multi-site-sync-policies","https://www.ibm.com/docs/en/storage-ceph/9.9.1?topic=administration-using-multi-site-sync-policies")</f>
        <v/>
      </c>
    </row>
    <row r="977" ht="18" customHeight="1">
      <c r="A977" s="8" t="inlineStr">
        <is>
          <t>18.3.7.1</t>
        </is>
      </c>
      <c r="B977" s="9" t="inlineStr">
        <is>
          <t xml:space="preserve">      Multi-site sync policy group state</t>
        </is>
      </c>
      <c r="C977" s="10">
        <f>HYPERLINK("https://www.ibm.com/docs/en/storage-ceph/9.9.1?topic=policies-multi-site-sync-policy-group-state","https://www.ibm.com/docs/en/storage-ceph/9.9.1?topic=policies-multi-site-sync-policy-group-state")</f>
        <v/>
      </c>
    </row>
    <row r="978" ht="18" customHeight="1">
      <c r="A978" s="8" t="inlineStr">
        <is>
          <t>18.3.7.2</t>
        </is>
      </c>
      <c r="B978" s="9" t="inlineStr">
        <is>
          <t xml:space="preserve">      Retrieving the current policy</t>
        </is>
      </c>
      <c r="C978" s="10">
        <f>HYPERLINK("https://www.ibm.com/docs/en/storage-ceph/9.9.1?topic=policies-retrieving-current-policy","https://www.ibm.com/docs/en/storage-ceph/9.9.1?topic=policies-retrieving-current-policy")</f>
        <v/>
      </c>
    </row>
    <row r="979" ht="18" customHeight="1">
      <c r="A979" s="8" t="inlineStr">
        <is>
          <t>18.3.7.3</t>
        </is>
      </c>
      <c r="B979" s="9" t="inlineStr">
        <is>
          <t xml:space="preserve">      Creating a sync policy group</t>
        </is>
      </c>
      <c r="C979" s="10">
        <f>HYPERLINK("https://www.ibm.com/docs/en/storage-ceph/9.9.1?topic=policies-creating-sync-policy-group","https://www.ibm.com/docs/en/storage-ceph/9.9.1?topic=policies-creating-sync-policy-group")</f>
        <v/>
      </c>
    </row>
    <row r="980" ht="18" customHeight="1">
      <c r="A980" s="8" t="inlineStr">
        <is>
          <t>18.3.7.4</t>
        </is>
      </c>
      <c r="B980" s="9" t="inlineStr">
        <is>
          <t xml:space="preserve">      Modifying a sync policy group</t>
        </is>
      </c>
      <c r="C980" s="10">
        <f>HYPERLINK("https://www.ibm.com/docs/en/storage-ceph/9.9.1?topic=policies-modifying-sync-policy-group","https://www.ibm.com/docs/en/storage-ceph/9.9.1?topic=policies-modifying-sync-policy-group")</f>
        <v/>
      </c>
    </row>
    <row r="981" ht="18" customHeight="1">
      <c r="A981" s="8" t="inlineStr">
        <is>
          <t>18.3.7.5</t>
        </is>
      </c>
      <c r="B981" s="9" t="inlineStr">
        <is>
          <t xml:space="preserve">      Getting a sync policy group</t>
        </is>
      </c>
      <c r="C981" s="10">
        <f>HYPERLINK("https://www.ibm.com/docs/en/storage-ceph/9.9.1?topic=policies-getting-sync-policy-group","https://www.ibm.com/docs/en/storage-ceph/9.9.1?topic=policies-getting-sync-policy-group")</f>
        <v/>
      </c>
    </row>
    <row r="982" ht="18" customHeight="1">
      <c r="A982" s="8" t="inlineStr">
        <is>
          <t>18.3.7.6</t>
        </is>
      </c>
      <c r="B982" s="9" t="inlineStr">
        <is>
          <t xml:space="preserve">      Removing a sync policy group</t>
        </is>
      </c>
      <c r="C982" s="10">
        <f>HYPERLINK("https://www.ibm.com/docs/en/storage-ceph/9.9.1?topic=policies-removing-sync-policy-group","https://www.ibm.com/docs/en/storage-ceph/9.9.1?topic=policies-removing-sync-policy-group")</f>
        <v/>
      </c>
    </row>
    <row r="983" ht="18" customHeight="1">
      <c r="A983" s="8" t="inlineStr">
        <is>
          <t>18.3.7.7</t>
        </is>
      </c>
      <c r="B983" s="9" t="inlineStr">
        <is>
          <t xml:space="preserve">      Creating a sync flow</t>
        </is>
      </c>
      <c r="C983" s="10">
        <f>HYPERLINK("https://www.ibm.com/docs/en/storage-ceph/9.9.1?topic=policies-creating-sync-flow","https://www.ibm.com/docs/en/storage-ceph/9.9.1?topic=policies-creating-sync-flow")</f>
        <v/>
      </c>
    </row>
    <row r="984" ht="18" customHeight="1">
      <c r="A984" s="8" t="inlineStr">
        <is>
          <t>18.3.7.8</t>
        </is>
      </c>
      <c r="B984" s="9" t="inlineStr">
        <is>
          <t xml:space="preserve">      Removing sync flows and zones</t>
        </is>
      </c>
      <c r="C984" s="10">
        <f>HYPERLINK("https://www.ibm.com/docs/en/storage-ceph/9.9.1?topic=policies-removing-sync-flows-zones","https://www.ibm.com/docs/en/storage-ceph/9.9.1?topic=policies-removing-sync-flows-zones")</f>
        <v/>
      </c>
    </row>
    <row r="985" ht="18" customHeight="1">
      <c r="A985" s="8" t="inlineStr">
        <is>
          <t>18.3.7.9</t>
        </is>
      </c>
      <c r="B985" s="9" t="inlineStr">
        <is>
          <t xml:space="preserve">      Creating and modifying a sync group pipe</t>
        </is>
      </c>
      <c r="C985" s="10">
        <f>HYPERLINK("https://www.ibm.com/docs/en/storage-ceph/9.9.1?topic=policies-creating-modifying-sync-group-pipe","https://www.ibm.com/docs/en/storage-ceph/9.9.1?topic=policies-creating-modifying-sync-group-pipe")</f>
        <v/>
      </c>
    </row>
    <row r="986" ht="18" customHeight="1">
      <c r="A986" s="8" t="inlineStr">
        <is>
          <t>18.3.7.10</t>
        </is>
      </c>
      <c r="B986" s="9" t="inlineStr">
        <is>
          <t xml:space="preserve">      Modifying or deleting a sync group pipe</t>
        </is>
      </c>
      <c r="C986" s="10">
        <f>HYPERLINK("https://www.ibm.com/docs/en/storage-ceph/9.9.1?topic=policies-modifying-deleting-sync-group-pipe","https://www.ibm.com/docs/en/storage-ceph/9.9.1?topic=policies-modifying-deleting-sync-group-pipe")</f>
        <v/>
      </c>
    </row>
    <row r="987" ht="18" customHeight="1">
      <c r="A987" s="8" t="inlineStr">
        <is>
          <t>18.3.7.11</t>
        </is>
      </c>
      <c r="B987" s="9" t="inlineStr">
        <is>
          <t xml:space="preserve">      Obtaining information about sync operations</t>
        </is>
      </c>
      <c r="C987" s="10">
        <f>HYPERLINK("https://www.ibm.com/docs/en/storage-ceph/9.9.1?topic=policies-obtaining-information-about-sync-operations","https://www.ibm.com/docs/en/storage-ceph/9.9.1?topic=policies-obtaining-information-about-sync-operations")</f>
        <v/>
      </c>
    </row>
    <row r="988" ht="18" customHeight="1">
      <c r="A988" s="8" t="inlineStr">
        <is>
          <t>18.3.8</t>
        </is>
      </c>
      <c r="B988" s="9" t="inlineStr">
        <is>
          <t xml:space="preserve">    Using destination parameters</t>
        </is>
      </c>
      <c r="C988" s="10">
        <f>HYPERLINK("https://www.ibm.com/docs/en/storage-ceph/9.9.1?topic=administration-using-destination-parameters","https://www.ibm.com/docs/en/storage-ceph/9.9.1?topic=administration-using-destination-parameters")</f>
        <v/>
      </c>
    </row>
    <row r="989" ht="18" customHeight="1">
      <c r="A989" s="8" t="inlineStr">
        <is>
          <t>18.3.9</t>
        </is>
      </c>
      <c r="B989" s="9" t="inlineStr">
        <is>
          <t xml:space="preserve">    Bucket granular sync policies</t>
        </is>
      </c>
      <c r="C989" s="10">
        <f>HYPERLINK("https://www.ibm.com/docs/en/storage-ceph/9.9.1?topic=administration-bucket-granular-sync-policies","https://www.ibm.com/docs/en/storage-ceph/9.9.1?topic=administration-bucket-granular-sync-policies")</f>
        <v/>
      </c>
    </row>
    <row r="990" ht="18" customHeight="1">
      <c r="A990" s="8" t="inlineStr">
        <is>
          <t>18.3.9.1</t>
        </is>
      </c>
      <c r="B990" s="9" t="inlineStr">
        <is>
          <t xml:space="preserve">      Setting bi-directional policy for zonegroups</t>
        </is>
      </c>
      <c r="C990" s="10">
        <f>HYPERLINK("https://www.ibm.com/docs/en/storage-ceph/9.9.1?topic=policies-setting-bi-directional-policy-zonegroups","https://www.ibm.com/docs/en/storage-ceph/9.9.1?topic=policies-setting-bi-directional-policy-zonegroups")</f>
        <v/>
      </c>
    </row>
    <row r="991" ht="18" customHeight="1">
      <c r="A991" s="8" t="inlineStr">
        <is>
          <t>18.3.9.2</t>
        </is>
      </c>
      <c r="B991" s="9" t="inlineStr">
        <is>
          <t xml:space="preserve">      Setting directional policy for zonegroups</t>
        </is>
      </c>
      <c r="C991" s="10">
        <f>HYPERLINK("https://www.ibm.com/docs/en/storage-ceph/9.9.1?topic=policies-setting-directional-policy-zonegroups","https://www.ibm.com/docs/en/storage-ceph/9.9.1?topic=policies-setting-directional-policy-zonegroups")</f>
        <v/>
      </c>
    </row>
    <row r="992" ht="18" customHeight="1">
      <c r="A992" s="8" t="inlineStr">
        <is>
          <t>18.3.9.3</t>
        </is>
      </c>
      <c r="B992" s="9" t="inlineStr">
        <is>
          <t xml:space="preserve">      Setting bi-directional policy for buckets</t>
        </is>
      </c>
      <c r="C992" s="10">
        <f>HYPERLINK("https://www.ibm.com/docs/en/storage-ceph/9.9.1?topic=policies-setting-bi-directional-policy-buckets","https://www.ibm.com/docs/en/storage-ceph/9.9.1?topic=policies-setting-bi-directional-policy-buckets")</f>
        <v/>
      </c>
    </row>
    <row r="993" ht="18" customHeight="1">
      <c r="A993" s="8" t="inlineStr">
        <is>
          <t>18.3.9.4</t>
        </is>
      </c>
      <c r="B993" s="9" t="inlineStr">
        <is>
          <t xml:space="preserve">      Setting directional policy for buckets</t>
        </is>
      </c>
      <c r="C993" s="10">
        <f>HYPERLINK("https://www.ibm.com/docs/en/storage-ceph/9.9.1?topic=policies-setting-directional-policy-buckets","https://www.ibm.com/docs/en/storage-ceph/9.9.1?topic=policies-setting-directional-policy-buckets")</f>
        <v/>
      </c>
    </row>
    <row r="994" ht="18" customHeight="1">
      <c r="A994" s="8" t="inlineStr">
        <is>
          <t>18.3.9.5</t>
        </is>
      </c>
      <c r="B994" s="9" t="inlineStr">
        <is>
          <t xml:space="preserve">      Syncing between buckets</t>
        </is>
      </c>
      <c r="C994" s="10">
        <f>HYPERLINK("https://www.ibm.com/docs/en/storage-ceph/9.9.1?topic=policies-syncing-between-buckets","https://www.ibm.com/docs/en/storage-ceph/9.9.1?topic=policies-syncing-between-buckets")</f>
        <v/>
      </c>
    </row>
    <row r="995" ht="18" customHeight="1">
      <c r="A995" s="8" t="inlineStr">
        <is>
          <t>18.3.9.6</t>
        </is>
      </c>
      <c r="B995" s="9" t="inlineStr">
        <is>
          <t xml:space="preserve">      Filtering objects</t>
        </is>
      </c>
      <c r="C995" s="10">
        <f>HYPERLINK("https://www.ibm.com/docs/en/storage-ceph/9.9.1?topic=policies-filtering-objects","https://www.ibm.com/docs/en/storage-ceph/9.9.1?topic=policies-filtering-objects")</f>
        <v/>
      </c>
    </row>
    <row r="996" ht="18" customHeight="1">
      <c r="A996" s="8" t="inlineStr">
        <is>
          <t>18.3.9.7</t>
        </is>
      </c>
      <c r="B996" s="9" t="inlineStr">
        <is>
          <t xml:space="preserve">      Disabling policy between buckets</t>
        </is>
      </c>
      <c r="C996" s="10">
        <f>HYPERLINK("https://www.ibm.com/docs/en/storage-ceph/9.9.1?topic=policies-disabling-policy-between-buckets","https://www.ibm.com/docs/en/storage-ceph/9.9.1?topic=policies-disabling-policy-between-buckets")</f>
        <v/>
      </c>
    </row>
    <row r="997" ht="18" customHeight="1">
      <c r="A997" s="5" t="inlineStr">
        <is>
          <t>18.4</t>
        </is>
      </c>
      <c r="B997" s="6" t="inlineStr">
        <is>
          <t xml:space="preserve">  Feature specific configuration</t>
        </is>
      </c>
      <c r="C997" s="7">
        <f>HYPERLINK("https://www.ibm.com/docs/en/storage-ceph/9.9.1?topic=gateway-feature-specific-configuration","https://www.ibm.com/docs/en/storage-ceph/9.9.1?topic=gateway-feature-specific-configuration")</f>
        <v/>
      </c>
    </row>
    <row r="998" ht="18" customHeight="1">
      <c r="A998" s="8" t="inlineStr">
        <is>
          <t>18.4.1</t>
        </is>
      </c>
      <c r="B998" s="9" t="inlineStr">
        <is>
          <t xml:space="preserve">    Bucket management</t>
        </is>
      </c>
      <c r="C998" s="10">
        <f>HYPERLINK("https://www.ibm.com/docs/en/storage-ceph/9.9.1?topic=configuration-bucket-management","https://www.ibm.com/docs/en/storage-ceph/9.9.1?topic=configuration-bucket-management")</f>
        <v/>
      </c>
    </row>
    <row r="999" ht="18" customHeight="1">
      <c r="A999" s="8" t="inlineStr">
        <is>
          <t>18.4.1.1</t>
        </is>
      </c>
      <c r="B999" s="9" t="inlineStr">
        <is>
          <t xml:space="preserve">      Renaming buckets</t>
        </is>
      </c>
      <c r="C999" s="10">
        <f>HYPERLINK("https://www.ibm.com/docs/en/storage-ceph/9.9.1?topic=management-renaming-buckets","https://www.ibm.com/docs/en/storage-ceph/9.9.1?topic=management-renaming-buckets")</f>
        <v/>
      </c>
    </row>
    <row r="1000" ht="18" customHeight="1">
      <c r="A1000" s="8" t="inlineStr">
        <is>
          <t>18.4.1.2</t>
        </is>
      </c>
      <c r="B1000" s="9" t="inlineStr">
        <is>
          <t xml:space="preserve">      Removing buckets</t>
        </is>
      </c>
      <c r="C1000" s="10">
        <f>HYPERLINK("https://www.ibm.com/docs/en/storage-ceph/9.9.1?topic=management-removing-buckets","https://www.ibm.com/docs/en/storage-ceph/9.9.1?topic=management-removing-buckets")</f>
        <v/>
      </c>
    </row>
    <row r="1001" ht="18" customHeight="1">
      <c r="A1001" s="8" t="inlineStr">
        <is>
          <t>18.4.1.3</t>
        </is>
      </c>
      <c r="B1001" s="9" t="inlineStr">
        <is>
          <t xml:space="preserve">      Moving buckets</t>
        </is>
      </c>
      <c r="C1001" s="10">
        <f>HYPERLINK("https://www.ibm.com/docs/en/storage-ceph/9.9.1?topic=management-moving-buckets","https://www.ibm.com/docs/en/storage-ceph/9.9.1?topic=management-moving-buckets")</f>
        <v/>
      </c>
    </row>
    <row r="1002" ht="18" customHeight="1">
      <c r="A1002" s="8" t="inlineStr">
        <is>
          <t>18.4.1.3.1</t>
        </is>
      </c>
      <c r="B1002" s="9" t="inlineStr">
        <is>
          <t xml:space="preserve">        Moving buckets between non-tenanted users</t>
        </is>
      </c>
      <c r="C1002" s="10">
        <f>HYPERLINK("https://www.ibm.com/docs/en/storage-ceph/9.9.1?topic=buckets-moving-between-non-tenanted-users","https://www.ibm.com/docs/en/storage-ceph/9.9.1?topic=buckets-moving-between-non-tenanted-users")</f>
        <v/>
      </c>
    </row>
    <row r="1003" ht="18" customHeight="1">
      <c r="A1003" s="8" t="inlineStr">
        <is>
          <t>18.4.1.3.2</t>
        </is>
      </c>
      <c r="B1003" s="9" t="inlineStr">
        <is>
          <t xml:space="preserve">        Moving buckets between tenanted users</t>
        </is>
      </c>
      <c r="C1003" s="10">
        <f>HYPERLINK("https://www.ibm.com/docs/en/storage-ceph/9.9.1?topic=buckets-moving-between-tenanted-users","https://www.ibm.com/docs/en/storage-ceph/9.9.1?topic=buckets-moving-between-tenanted-users")</f>
        <v/>
      </c>
    </row>
    <row r="1004" ht="18" customHeight="1">
      <c r="A1004" s="8" t="inlineStr">
        <is>
          <t>18.4.1.3.3</t>
        </is>
      </c>
      <c r="B1004" s="9" t="inlineStr">
        <is>
          <t xml:space="preserve">        Moving buckets from non-tenanted users to tenanted users</t>
        </is>
      </c>
      <c r="C1004" s="10">
        <f>HYPERLINK("https://www.ibm.com/docs/en/storage-ceph/9.9.1?topic=mb-moving-buckets-from-non-tenanted-users-tenanted-users","https://www.ibm.com/docs/en/storage-ceph/9.9.1?topic=mb-moving-buckets-from-non-tenanted-users-tenanted-users")</f>
        <v/>
      </c>
    </row>
    <row r="1005" ht="18" customHeight="1">
      <c r="A1005" s="8" t="inlineStr">
        <is>
          <t>18.4.1.4</t>
        </is>
      </c>
      <c r="B1005" s="9" t="inlineStr">
        <is>
          <t xml:space="preserve">      Finding orphan and leaky objects</t>
        </is>
      </c>
      <c r="C1005" s="10">
        <f>HYPERLINK("https://www.ibm.com/docs/en/storage-ceph/9.9.1?topic=management-finding-orphan-leaky-objects","https://www.ibm.com/docs/en/storage-ceph/9.9.1?topic=management-finding-orphan-leaky-objects")</f>
        <v/>
      </c>
    </row>
    <row r="1006" ht="18" customHeight="1">
      <c r="A1006" s="8" t="inlineStr">
        <is>
          <t>18.4.1.5</t>
        </is>
      </c>
      <c r="B1006" s="9" t="inlineStr">
        <is>
          <t xml:space="preserve">      Managing bucket index entries</t>
        </is>
      </c>
      <c r="C1006" s="10">
        <f>HYPERLINK("https://www.ibm.com/docs/en/storage-ceph/9.9.1?topic=management-managing-bucket-index-entries","https://www.ibm.com/docs/en/storage-ceph/9.9.1?topic=management-managing-bucket-index-entries")</f>
        <v/>
      </c>
    </row>
    <row r="1007" ht="18" customHeight="1">
      <c r="A1007" s="8" t="inlineStr">
        <is>
          <t>18.4.1.6</t>
        </is>
      </c>
      <c r="B1007" s="9" t="inlineStr">
        <is>
          <t xml:space="preserve">      Bucket notifications</t>
        </is>
      </c>
      <c r="C1007" s="10">
        <f>HYPERLINK("https://www.ibm.com/docs/en/storage-ceph/9.9.1?topic=management-bucket-notifications","https://www.ibm.com/docs/en/storage-ceph/9.9.1?topic=management-bucket-notifications")</f>
        <v/>
      </c>
    </row>
    <row r="1008" ht="18" customHeight="1">
      <c r="A1008" s="8" t="inlineStr">
        <is>
          <t>18.4.1.6.1</t>
        </is>
      </c>
      <c r="B1008" s="9" t="inlineStr">
        <is>
          <t xml:space="preserve">        Creating bucket notifications</t>
        </is>
      </c>
      <c r="C1008" s="10">
        <f>HYPERLINK("https://www.ibm.com/docs/en/storage-ceph/9.9.1?topic=notifications-creating-bucket","https://www.ibm.com/docs/en/storage-ceph/9.9.1?topic=notifications-creating-bucket")</f>
        <v/>
      </c>
    </row>
    <row r="1009" ht="18" customHeight="1">
      <c r="A1009" s="8" t="inlineStr">
        <is>
          <t>18.4.1.6.2</t>
        </is>
      </c>
      <c r="B1009" s="9" t="inlineStr">
        <is>
          <t xml:space="preserve">        S3 bucket replication API</t>
        </is>
      </c>
      <c r="C1009" s="10">
        <f>HYPERLINK("https://www.ibm.com/docs/en/storage-ceph/9.9.1?topic=notifications-s3-bucket-replication-api","https://www.ibm.com/docs/en/storage-ceph/9.9.1?topic=notifications-s3-bucket-replication-api")</f>
        <v/>
      </c>
    </row>
    <row r="1010" ht="18" customHeight="1">
      <c r="A1010" s="8" t="inlineStr">
        <is>
          <t>18.4.1.6.2.1</t>
        </is>
      </c>
      <c r="B1010" s="9" t="inlineStr">
        <is>
          <t xml:space="preserve">          Creating S3 bucket replication</t>
        </is>
      </c>
      <c r="C1010" s="10">
        <f>HYPERLINK("https://www.ibm.com/docs/en/storage-ceph/9.9.1?topic=api-creating-s3-bucket-replication","https://www.ibm.com/docs/en/storage-ceph/9.9.1?topic=api-creating-s3-bucket-replication")</f>
        <v/>
      </c>
    </row>
    <row r="1011" ht="18" customHeight="1">
      <c r="A1011" s="8" t="inlineStr">
        <is>
          <t>18.4.1.6.2.2</t>
        </is>
      </c>
      <c r="B1011" s="9" t="inlineStr">
        <is>
          <t xml:space="preserve">          Getting S3 bucket replication</t>
        </is>
      </c>
      <c r="C1011" s="10">
        <f>HYPERLINK("https://www.ibm.com/docs/en/storage-ceph/9.9.1?topic=api-getting-s3-bucket-replication","https://www.ibm.com/docs/en/storage-ceph/9.9.1?topic=api-getting-s3-bucket-replication")</f>
        <v/>
      </c>
    </row>
    <row r="1012" ht="18" customHeight="1">
      <c r="A1012" s="8" t="inlineStr">
        <is>
          <t>18.4.1.6.2.3</t>
        </is>
      </c>
      <c r="B1012" s="9" t="inlineStr">
        <is>
          <t xml:space="preserve">          Deleting S3 bucket replication</t>
        </is>
      </c>
      <c r="C1012" s="10">
        <f>HYPERLINK("https://www.ibm.com/docs/en/storage-ceph/9.9.1?topic=api-deleting-s3-bucket-replication","https://www.ibm.com/docs/en/storage-ceph/9.9.1?topic=api-deleting-s3-bucket-replication")</f>
        <v/>
      </c>
    </row>
    <row r="1013" ht="18" customHeight="1">
      <c r="A1013" s="8" t="inlineStr">
        <is>
          <t>18.4.1.6.2.4</t>
        </is>
      </c>
      <c r="B1013" s="9" t="inlineStr">
        <is>
          <t xml:space="preserve">          Disabling S3 bucket replication for a user</t>
        </is>
      </c>
      <c r="C1013" s="10">
        <f>HYPERLINK("https://www.ibm.com/docs/en/storage-ceph/9.9.1?topic=api-disabling-s3-bucket-replication-user","https://www.ibm.com/docs/en/storage-ceph/9.9.1?topic=api-disabling-s3-bucket-replication-user")</f>
        <v/>
      </c>
    </row>
    <row r="1014" ht="18" customHeight="1">
      <c r="A1014" s="8" t="inlineStr">
        <is>
          <t>18.4.1.7</t>
        </is>
      </c>
      <c r="B1014" s="9" t="inlineStr">
        <is>
          <t xml:space="preserve">      Configuring Bucket lifecycle</t>
        </is>
      </c>
      <c r="C1014" s="10">
        <f>HYPERLINK("https://www.ibm.com/docs/en/storage-ceph/9.9.1?topic=management-configuring-bucket-lifecycle","https://www.ibm.com/docs/en/storage-ceph/9.9.1?topic=management-configuring-bucket-lifecycle")</f>
        <v/>
      </c>
    </row>
    <row r="1015" ht="18" customHeight="1">
      <c r="A1015" s="8" t="inlineStr">
        <is>
          <t>18.4.1.7.1</t>
        </is>
      </c>
      <c r="B1015" s="9" t="inlineStr">
        <is>
          <t xml:space="preserve">        Creating a lifecycle management policy</t>
        </is>
      </c>
      <c r="C1015" s="10">
        <f>HYPERLINK("https://www.ibm.com/docs/en/storage-ceph/9.9.1?topic=lifecycle-creating-management-policy","https://www.ibm.com/docs/en/storage-ceph/9.9.1?topic=lifecycle-creating-management-policy")</f>
        <v/>
      </c>
    </row>
    <row r="1016" ht="18" customHeight="1">
      <c r="A1016" s="8" t="inlineStr">
        <is>
          <t>18.4.1.7.2</t>
        </is>
      </c>
      <c r="B1016" s="9" t="inlineStr">
        <is>
          <t xml:space="preserve">        Deleting a lifecycle management policy</t>
        </is>
      </c>
      <c r="C1016" s="10">
        <f>HYPERLINK("https://www.ibm.com/docs/en/storage-ceph/9.9.1?topic=lifecycle-deleting-management-policy","https://www.ibm.com/docs/en/storage-ceph/9.9.1?topic=lifecycle-deleting-management-policy")</f>
        <v/>
      </c>
    </row>
    <row r="1017" ht="18" customHeight="1">
      <c r="A1017" s="8" t="inlineStr">
        <is>
          <t>18.4.1.7.3</t>
        </is>
      </c>
      <c r="B1017" s="9" t="inlineStr">
        <is>
          <t xml:space="preserve">        Updating a lifecycle management policy</t>
        </is>
      </c>
      <c r="C1017" s="10">
        <f>HYPERLINK("https://www.ibm.com/docs/en/storage-ceph/9.9.1?topic=lifecycle-updating-management-policy","https://www.ibm.com/docs/en/storage-ceph/9.9.1?topic=lifecycle-updating-management-policy")</f>
        <v/>
      </c>
    </row>
    <row r="1018" ht="18" customHeight="1">
      <c r="A1018" s="8" t="inlineStr">
        <is>
          <t>18.4.1.7.4</t>
        </is>
      </c>
      <c r="B1018" s="9" t="inlineStr">
        <is>
          <t xml:space="preserve">        Monitoring bucket lifecycles</t>
        </is>
      </c>
      <c r="C1018" s="10">
        <f>HYPERLINK("https://www.ibm.com/docs/en/storage-ceph/9.9.1?topic=lifecycle-monitoring-bucket-lifecycles","https://www.ibm.com/docs/en/storage-ceph/9.9.1?topic=lifecycle-monitoring-bucket-lifecycles")</f>
        <v/>
      </c>
    </row>
    <row r="1019" ht="18" customHeight="1">
      <c r="A1019" s="8" t="inlineStr">
        <is>
          <t>18.4.1.7.5</t>
        </is>
      </c>
      <c r="B1019" s="9" t="inlineStr">
        <is>
          <t xml:space="preserve">        Configuring lifecycle expiration window</t>
        </is>
      </c>
      <c r="C1019" s="10">
        <f>HYPERLINK("https://www.ibm.com/docs/en/storage-ceph/9.9.1?topic=lifecycle-configuring-expiration-window","https://www.ibm.com/docs/en/storage-ceph/9.9.1?topic=lifecycle-configuring-expiration-window")</f>
        <v/>
      </c>
    </row>
    <row r="1020" ht="18" customHeight="1">
      <c r="A1020" s="8" t="inlineStr">
        <is>
          <t>18.4.1.7.6</t>
        </is>
      </c>
      <c r="B1020" s="9" t="inlineStr">
        <is>
          <t xml:space="preserve">        S3 bucket lifecycle transition within a storage cluster</t>
        </is>
      </c>
      <c r="C1020" s="10">
        <f>HYPERLINK("https://www.ibm.com/docs/en/storage-ceph/9.9.1?topic=lifecycle-s3-bucket-transition-within-storage-cluster","https://www.ibm.com/docs/en/storage-ceph/9.9.1?topic=lifecycle-s3-bucket-transition-within-storage-cluster")</f>
        <v/>
      </c>
    </row>
    <row r="1021" ht="18" customHeight="1">
      <c r="A1021" s="8" t="inlineStr">
        <is>
          <t>18.4.1.7.7</t>
        </is>
      </c>
      <c r="B1021" s="9" t="inlineStr">
        <is>
          <t xml:space="preserve">        Transitioning an object from one storage class to another</t>
        </is>
      </c>
      <c r="C1021" s="10">
        <f>HYPERLINK("https://www.ibm.com/docs/en/storage-ceph/9.9.1?topic=lifecycle-transitioning-object-from-one-storage-class-another","https://www.ibm.com/docs/en/storage-ceph/9.9.1?topic=lifecycle-transitioning-object-from-one-storage-class-another")</f>
        <v/>
      </c>
    </row>
    <row r="1022" ht="18" customHeight="1">
      <c r="A1022" s="8" t="inlineStr">
        <is>
          <t>18.4.1.7.8</t>
        </is>
      </c>
      <c r="B1022" s="9" t="inlineStr">
        <is>
          <t xml:space="preserve">        Enabling object lock for S3</t>
        </is>
      </c>
      <c r="C1022" s="10">
        <f>HYPERLINK("https://www.ibm.com/docs/en/storage-ceph/9.9.1?topic=lifecycle-enabling-object-lock-s3","https://www.ibm.com/docs/en/storage-ceph/9.9.1?topic=lifecycle-enabling-object-lock-s3")</f>
        <v/>
      </c>
    </row>
    <row r="1023" ht="18" customHeight="1">
      <c r="A1023" s="8" t="inlineStr">
        <is>
          <t>18.4.1.8</t>
        </is>
      </c>
      <c r="B1023" s="9" t="inlineStr">
        <is>
          <t xml:space="preserve">      Bucket logging</t>
        </is>
      </c>
      <c r="C1023" s="10">
        <f>HYPERLINK("https://www.ibm.com/docs/en/storage-ceph/9.9.1?topic=management-bucket-logging","https://www.ibm.com/docs/en/storage-ceph/9.9.1?topic=management-bucket-logging")</f>
        <v/>
      </c>
    </row>
    <row r="1024" ht="18" customHeight="1">
      <c r="A1024" s="8" t="inlineStr">
        <is>
          <t>18.4.2</t>
        </is>
      </c>
      <c r="B1024" s="9" t="inlineStr">
        <is>
          <t xml:space="preserve">    Identity and Access Management (IAM)</t>
        </is>
      </c>
      <c r="C1024" s="10">
        <f>HYPERLINK("https://www.ibm.com/docs/en/storage-ceph/9.9.1?topic=configuration-identity-access-management-iam","https://www.ibm.com/docs/en/storage-ceph/9.9.1?topic=configuration-identity-access-management-iam")</f>
        <v/>
      </c>
    </row>
    <row r="1025" ht="18" customHeight="1">
      <c r="A1025" s="8" t="inlineStr">
        <is>
          <t>18.4.2.1</t>
        </is>
      </c>
      <c r="B1025" s="9" t="inlineStr">
        <is>
          <t xml:space="preserve">      Create an account</t>
        </is>
      </c>
      <c r="C1025" s="10">
        <f>HYPERLINK("https://www.ibm.com/docs/en/storage-ceph/9.9.1?topic=iam-create-account","https://www.ibm.com/docs/en/storage-ceph/9.9.1?topic=iam-create-account")</f>
        <v/>
      </c>
    </row>
    <row r="1026" ht="18" customHeight="1">
      <c r="A1026" s="8" t="inlineStr">
        <is>
          <t>18.4.2.2</t>
        </is>
      </c>
      <c r="B1026" s="9" t="inlineStr">
        <is>
          <t xml:space="preserve">      Create an account root user</t>
        </is>
      </c>
      <c r="C1026" s="10">
        <f>HYPERLINK("https://www.ibm.com/docs/en/storage-ceph/9.9.1?topic=iam-create-account-root-user","https://www.ibm.com/docs/en/storage-ceph/9.9.1?topic=iam-create-account-root-user")</f>
        <v/>
      </c>
    </row>
    <row r="1027" ht="18" customHeight="1">
      <c r="A1027" s="8" t="inlineStr">
        <is>
          <t>18.4.2.3</t>
        </is>
      </c>
      <c r="B1027" s="9" t="inlineStr">
        <is>
          <t xml:space="preserve">      Delete an account</t>
        </is>
      </c>
      <c r="C1027" s="10">
        <f>HYPERLINK("https://www.ibm.com/docs/en/storage-ceph/9.9.1?topic=iam-delete-account","https://www.ibm.com/docs/en/storage-ceph/9.9.1?topic=iam-delete-account")</f>
        <v/>
      </c>
    </row>
    <row r="1028" ht="18" customHeight="1">
      <c r="A1028" s="8" t="inlineStr">
        <is>
          <t>18.4.2.4</t>
        </is>
      </c>
      <c r="B1028" s="9" t="inlineStr">
        <is>
          <t xml:space="preserve">      Managing account statistics and quotas</t>
        </is>
      </c>
      <c r="C1028" s="10">
        <f>HYPERLINK("https://www.ibm.com/docs/en/storage-ceph/9.9.1?topic=iam-managing-account-statistics-quotas","https://www.ibm.com/docs/en/storage-ceph/9.9.1?topic=iam-managing-account-statistics-quotas")</f>
        <v/>
      </c>
    </row>
    <row r="1029" ht="18" customHeight="1">
      <c r="A1029" s="8" t="inlineStr">
        <is>
          <t>18.4.2.5</t>
        </is>
      </c>
      <c r="B1029" s="9" t="inlineStr">
        <is>
          <t xml:space="preserve">      Migrate an existing user to an account</t>
        </is>
      </c>
      <c r="C1029" s="10">
        <f>HYPERLINK("https://www.ibm.com/docs/en/storage-ceph/9.9.1?topic=iam-migrate-existing-user-account","https://www.ibm.com/docs/en/storage-ceph/9.9.1?topic=iam-migrate-existing-user-account")</f>
        <v/>
      </c>
    </row>
    <row r="1030" ht="18" customHeight="1">
      <c r="A1030" s="8" t="inlineStr">
        <is>
          <t>18.4.3</t>
        </is>
      </c>
      <c r="B1030" s="9" t="inlineStr">
        <is>
          <t xml:space="preserve">    User management</t>
        </is>
      </c>
      <c r="C1030" s="10">
        <f>HYPERLINK("https://www.ibm.com/docs/en/storage-ceph/9.9.1?topic=configuration-user-management","https://www.ibm.com/docs/en/storage-ceph/9.9.1?topic=configuration-user-management")</f>
        <v/>
      </c>
    </row>
    <row r="1031" ht="18" customHeight="1">
      <c r="A1031" s="8" t="inlineStr">
        <is>
          <t>18.4.3.1</t>
        </is>
      </c>
      <c r="B1031" s="9" t="inlineStr">
        <is>
          <t xml:space="preserve">      Multi-tenant namespace</t>
        </is>
      </c>
      <c r="C1031" s="10">
        <f>HYPERLINK("https://www.ibm.com/docs/en/storage-ceph/9.9.1?topic=management-multi-tenant-namespace","https://www.ibm.com/docs/en/storage-ceph/9.9.1?topic=management-multi-tenant-namespace")</f>
        <v/>
      </c>
    </row>
    <row r="1032" ht="18" customHeight="1">
      <c r="A1032" s="8" t="inlineStr">
        <is>
          <t>18.4.3.2</t>
        </is>
      </c>
      <c r="B1032" s="9" t="inlineStr">
        <is>
          <t xml:space="preserve">      Create a user</t>
        </is>
      </c>
      <c r="C1032" s="10">
        <f>HYPERLINK("https://www.ibm.com/docs/en/storage-ceph/9.9.1?topic=management-create-user","https://www.ibm.com/docs/en/storage-ceph/9.9.1?topic=management-create-user")</f>
        <v/>
      </c>
    </row>
    <row r="1033" ht="18" customHeight="1">
      <c r="A1033" s="8" t="inlineStr">
        <is>
          <t>18.4.3.3</t>
        </is>
      </c>
      <c r="B1033" s="9" t="inlineStr">
        <is>
          <t xml:space="preserve">      Create a subuser</t>
        </is>
      </c>
      <c r="C1033" s="10">
        <f>HYPERLINK("https://www.ibm.com/docs/en/storage-ceph/9.9.1?topic=management-create-subuser","https://www.ibm.com/docs/en/storage-ceph/9.9.1?topic=management-create-subuser")</f>
        <v/>
      </c>
    </row>
    <row r="1034" ht="18" customHeight="1">
      <c r="A1034" s="8" t="inlineStr">
        <is>
          <t>18.4.3.4</t>
        </is>
      </c>
      <c r="B1034" s="9" t="inlineStr">
        <is>
          <t xml:space="preserve">      Get user information</t>
        </is>
      </c>
      <c r="C1034" s="10">
        <f>HYPERLINK("https://www.ibm.com/docs/en/storage-ceph/9.9.1?topic=management-get-user-information","https://www.ibm.com/docs/en/storage-ceph/9.9.1?topic=management-get-user-information")</f>
        <v/>
      </c>
    </row>
    <row r="1035" ht="18" customHeight="1">
      <c r="A1035" s="8" t="inlineStr">
        <is>
          <t>18.4.3.5</t>
        </is>
      </c>
      <c r="B1035" s="9" t="inlineStr">
        <is>
          <t xml:space="preserve">      Modify user information</t>
        </is>
      </c>
      <c r="C1035" s="10">
        <f>HYPERLINK("https://www.ibm.com/docs/en/storage-ceph/9.9.1?topic=management-modify-user-information","https://www.ibm.com/docs/en/storage-ceph/9.9.1?topic=management-modify-user-information")</f>
        <v/>
      </c>
    </row>
    <row r="1036" ht="18" customHeight="1">
      <c r="A1036" s="8" t="inlineStr">
        <is>
          <t>18.4.3.6</t>
        </is>
      </c>
      <c r="B1036" s="9" t="inlineStr">
        <is>
          <t xml:space="preserve">      Enable and suspend users</t>
        </is>
      </c>
      <c r="C1036" s="10">
        <f>HYPERLINK("https://www.ibm.com/docs/en/storage-ceph/9.9.1?topic=management-enable-suspend-users","https://www.ibm.com/docs/en/storage-ceph/9.9.1?topic=management-enable-suspend-users")</f>
        <v/>
      </c>
    </row>
    <row r="1037" ht="18" customHeight="1">
      <c r="A1037" s="8" t="inlineStr">
        <is>
          <t>18.4.3.7</t>
        </is>
      </c>
      <c r="B1037" s="9" t="inlineStr">
        <is>
          <t xml:space="preserve">      Removing a user and subuser</t>
        </is>
      </c>
      <c r="C1037" s="10">
        <f>HYPERLINK("https://www.ibm.com/docs/en/storage-ceph/9.9.1?topic=management-removing-user-subuser","https://www.ibm.com/docs/en/storage-ceph/9.9.1?topic=management-removing-user-subuser")</f>
        <v/>
      </c>
    </row>
    <row r="1038" ht="18" customHeight="1">
      <c r="A1038" s="8" t="inlineStr">
        <is>
          <t>18.4.3.8</t>
        </is>
      </c>
      <c r="B1038" s="9" t="inlineStr">
        <is>
          <t xml:space="preserve">      Rename a user</t>
        </is>
      </c>
      <c r="C1038" s="10">
        <f>HYPERLINK("https://www.ibm.com/docs/en/storage-ceph/9.9.1?topic=management-rename-user","https://www.ibm.com/docs/en/storage-ceph/9.9.1?topic=management-rename-user")</f>
        <v/>
      </c>
    </row>
    <row r="1039" ht="18" customHeight="1">
      <c r="A1039" s="8" t="inlineStr">
        <is>
          <t>18.4.3.9</t>
        </is>
      </c>
      <c r="B1039" s="9" t="inlineStr">
        <is>
          <t xml:space="preserve">      Create a key</t>
        </is>
      </c>
      <c r="C1039" s="10">
        <f>HYPERLINK("https://www.ibm.com/docs/en/storage-ceph/9.9.1?topic=management-create-key","https://www.ibm.com/docs/en/storage-ceph/9.9.1?topic=management-create-key")</f>
        <v/>
      </c>
    </row>
    <row r="1040" ht="18" customHeight="1">
      <c r="A1040" s="8" t="inlineStr">
        <is>
          <t>18.4.3.10</t>
        </is>
      </c>
      <c r="B1040" s="9" t="inlineStr">
        <is>
          <t xml:space="preserve">      Add and remove access keys</t>
        </is>
      </c>
      <c r="C1040" s="10">
        <f>HYPERLINK("https://www.ibm.com/docs/en/storage-ceph/9.9.1?topic=management-add-remove-access-keys","https://www.ibm.com/docs/en/storage-ceph/9.9.1?topic=management-add-remove-access-keys")</f>
        <v/>
      </c>
    </row>
    <row r="1041" ht="18" customHeight="1">
      <c r="A1041" s="8" t="inlineStr">
        <is>
          <t>18.4.3.11</t>
        </is>
      </c>
      <c r="B1041" s="9" t="inlineStr">
        <is>
          <t xml:space="preserve">      Add and remove admin capabilities</t>
        </is>
      </c>
      <c r="C1041" s="10">
        <f>HYPERLINK("https://www.ibm.com/docs/en/storage-ceph/9.9.1?topic=management-add-remove-admin-capabilities","https://www.ibm.com/docs/en/storage-ceph/9.9.1?topic=management-add-remove-admin-capabilities")</f>
        <v/>
      </c>
    </row>
    <row r="1042" ht="18" customHeight="1">
      <c r="A1042" s="8" t="inlineStr">
        <is>
          <t>18.4.4</t>
        </is>
      </c>
      <c r="B1042" s="9" t="inlineStr">
        <is>
          <t xml:space="preserve">    Role management</t>
        </is>
      </c>
      <c r="C1042" s="10">
        <f>HYPERLINK("https://www.ibm.com/docs/en/storage-ceph/9.9.1?topic=configuration-role-management","https://www.ibm.com/docs/en/storage-ceph/9.9.1?topic=configuration-role-management")</f>
        <v/>
      </c>
    </row>
    <row r="1043" ht="18" customHeight="1">
      <c r="A1043" s="8" t="inlineStr">
        <is>
          <t>18.4.4.1</t>
        </is>
      </c>
      <c r="B1043" s="9" t="inlineStr">
        <is>
          <t xml:space="preserve">      Creating a role</t>
        </is>
      </c>
      <c r="C1043" s="10">
        <f>HYPERLINK("https://www.ibm.com/docs/en/storage-ceph/9.9.1?topic=management-creating-role","https://www.ibm.com/docs/en/storage-ceph/9.9.1?topic=management-creating-role")</f>
        <v/>
      </c>
    </row>
    <row r="1044" ht="18" customHeight="1">
      <c r="A1044" s="8" t="inlineStr">
        <is>
          <t>18.4.4.2</t>
        </is>
      </c>
      <c r="B1044" s="9" t="inlineStr">
        <is>
          <t xml:space="preserve">      Getting a role</t>
        </is>
      </c>
      <c r="C1044" s="10">
        <f>HYPERLINK("https://www.ibm.com/docs/en/storage-ceph/9.9.1?topic=management-getting-role","https://www.ibm.com/docs/en/storage-ceph/9.9.1?topic=management-getting-role")</f>
        <v/>
      </c>
    </row>
    <row r="1045" ht="18" customHeight="1">
      <c r="A1045" s="8" t="inlineStr">
        <is>
          <t>18.4.4.3</t>
        </is>
      </c>
      <c r="B1045" s="9" t="inlineStr">
        <is>
          <t xml:space="preserve">      Listing a role</t>
        </is>
      </c>
      <c r="C1045" s="10">
        <f>HYPERLINK("https://www.ibm.com/docs/en/storage-ceph/9.9.1?topic=management-listing-role","https://www.ibm.com/docs/en/storage-ceph/9.9.1?topic=management-listing-role")</f>
        <v/>
      </c>
    </row>
    <row r="1046" ht="18" customHeight="1">
      <c r="A1046" s="8" t="inlineStr">
        <is>
          <t>18.4.4.4</t>
        </is>
      </c>
      <c r="B1046" s="9" t="inlineStr">
        <is>
          <t xml:space="preserve">      Updating assume role policy document of a role</t>
        </is>
      </c>
      <c r="C1046" s="10">
        <f>HYPERLINK("https://www.ibm.com/docs/en/storage-ceph/9.9.1?topic=management-updating-assume-role-policy-document-role","https://www.ibm.com/docs/en/storage-ceph/9.9.1?topic=management-updating-assume-role-policy-document-role")</f>
        <v/>
      </c>
    </row>
    <row r="1047" ht="18" customHeight="1">
      <c r="A1047" s="8" t="inlineStr">
        <is>
          <t>18.4.4.5</t>
        </is>
      </c>
      <c r="B1047" s="9" t="inlineStr">
        <is>
          <t xml:space="preserve">      Getting permission policy attached to a role</t>
        </is>
      </c>
      <c r="C1047" s="10">
        <f>HYPERLINK("https://www.ibm.com/docs/en/storage-ceph/9.9.1?topic=management-getting-permission-policy-attached-role","https://www.ibm.com/docs/en/storage-ceph/9.9.1?topic=management-getting-permission-policy-attached-role")</f>
        <v/>
      </c>
    </row>
    <row r="1048" ht="18" customHeight="1">
      <c r="A1048" s="8" t="inlineStr">
        <is>
          <t>18.4.4.6</t>
        </is>
      </c>
      <c r="B1048" s="9" t="inlineStr">
        <is>
          <t xml:space="preserve">      Listing permission policy attached to a role</t>
        </is>
      </c>
      <c r="C1048" s="10">
        <f>HYPERLINK("https://www.ibm.com/docs/en/storage-ceph/9.9.1?topic=management-listing-permission-policy-attached-role","https://www.ibm.com/docs/en/storage-ceph/9.9.1?topic=management-listing-permission-policy-attached-role")</f>
        <v/>
      </c>
    </row>
    <row r="1049" ht="18" customHeight="1">
      <c r="A1049" s="8" t="inlineStr">
        <is>
          <t>18.4.4.7</t>
        </is>
      </c>
      <c r="B1049" s="9" t="inlineStr">
        <is>
          <t xml:space="preserve">      Deleting policy attached to a role</t>
        </is>
      </c>
      <c r="C1049" s="10">
        <f>HYPERLINK("https://www.ibm.com/docs/en/storage-ceph/9.9.1?topic=management-deleting-policy-attached-role","https://www.ibm.com/docs/en/storage-ceph/9.9.1?topic=management-deleting-policy-attached-role")</f>
        <v/>
      </c>
    </row>
    <row r="1050" ht="18" customHeight="1">
      <c r="A1050" s="8" t="inlineStr">
        <is>
          <t>18.4.4.8</t>
        </is>
      </c>
      <c r="B1050" s="9" t="inlineStr">
        <is>
          <t xml:space="preserve">      Deleting a role</t>
        </is>
      </c>
      <c r="C1050" s="10">
        <f>HYPERLINK("https://www.ibm.com/docs/en/storage-ceph/9.9.1?topic=management-deleting-role","https://www.ibm.com/docs/en/storage-ceph/9.9.1?topic=management-deleting-role")</f>
        <v/>
      </c>
    </row>
    <row r="1051" ht="18" customHeight="1">
      <c r="A1051" s="8" t="inlineStr">
        <is>
          <t>18.4.4.9</t>
        </is>
      </c>
      <c r="B1051" s="9" t="inlineStr">
        <is>
          <t xml:space="preserve">      Updating the session duration of a role</t>
        </is>
      </c>
      <c r="C1051" s="10">
        <f>HYPERLINK("https://www.ibm.com/docs/en/storage-ceph/9.9.1?topic=management-updating-session-duration-role","https://www.ibm.com/docs/en/storage-ceph/9.9.1?topic=management-updating-session-duration-role")</f>
        <v/>
      </c>
    </row>
    <row r="1052" ht="18" customHeight="1">
      <c r="A1052" s="8" t="inlineStr">
        <is>
          <t>18.4.5</t>
        </is>
      </c>
      <c r="B1052" s="9" t="inlineStr">
        <is>
          <t xml:space="preserve">    Static web hosting</t>
        </is>
      </c>
      <c r="C1052" s="10">
        <f>HYPERLINK("https://www.ibm.com/docs/en/storage-ceph/9.9.1?topic=configuration-static-web-hosting","https://www.ibm.com/docs/en/storage-ceph/9.9.1?topic=configuration-static-web-hosting")</f>
        <v/>
      </c>
    </row>
    <row r="1053" ht="18" customHeight="1">
      <c r="A1053" s="8" t="inlineStr">
        <is>
          <t>18.4.5.1</t>
        </is>
      </c>
      <c r="B1053" s="9" t="inlineStr">
        <is>
          <t xml:space="preserve">      Static web hosting requirements and assumptions</t>
        </is>
      </c>
      <c r="C1053" s="10">
        <f>HYPERLINK("https://www.ibm.com/docs/en/storage-ceph/9.9.1?topic=hosting-static-web-requirements-assumptions","https://www.ibm.com/docs/en/storage-ceph/9.9.1?topic=hosting-static-web-requirements-assumptions")</f>
        <v/>
      </c>
    </row>
    <row r="1054" ht="18" customHeight="1">
      <c r="A1054" s="8" t="inlineStr">
        <is>
          <t>18.4.5.2</t>
        </is>
      </c>
      <c r="B1054" s="9" t="inlineStr">
        <is>
          <t xml:space="preserve">      Static web hosting gateway setup</t>
        </is>
      </c>
      <c r="C1054" s="10">
        <f>HYPERLINK("https://www.ibm.com/docs/en/storage-ceph/9.9.1?topic=hosting-static-web-gateway-setup","https://www.ibm.com/docs/en/storage-ceph/9.9.1?topic=hosting-static-web-gateway-setup")</f>
        <v/>
      </c>
    </row>
    <row r="1055" ht="18" customHeight="1">
      <c r="A1055" s="8" t="inlineStr">
        <is>
          <t>18.4.5.3</t>
        </is>
      </c>
      <c r="B1055" s="9" t="inlineStr">
        <is>
          <t xml:space="preserve">      Static web hosting DNS configuration</t>
        </is>
      </c>
      <c r="C1055" s="10">
        <f>HYPERLINK("https://www.ibm.com/docs/en/storage-ceph/9.9.1?topic=hosting-static-web-dns-configuration","https://www.ibm.com/docs/en/storage-ceph/9.9.1?topic=hosting-static-web-dns-configuration")</f>
        <v/>
      </c>
    </row>
    <row r="1056" ht="18" customHeight="1">
      <c r="A1056" s="8" t="inlineStr">
        <is>
          <t>18.4.5.4</t>
        </is>
      </c>
      <c r="B1056" s="9" t="inlineStr">
        <is>
          <t xml:space="preserve">      Creating a static web hosting site</t>
        </is>
      </c>
      <c r="C1056" s="10">
        <f>HYPERLINK("https://www.ibm.com/docs/en/storage-ceph/9.9.1?topic=hosting-creating-static-web-site","https://www.ibm.com/docs/en/storage-ceph/9.9.1?topic=hosting-creating-static-web-site")</f>
        <v/>
      </c>
    </row>
    <row r="1057" ht="18" customHeight="1">
      <c r="A1057" s="8" t="inlineStr">
        <is>
          <t>18.4.6</t>
        </is>
      </c>
      <c r="B1057" s="9" t="inlineStr">
        <is>
          <t xml:space="preserve">    Storage classes</t>
        </is>
      </c>
      <c r="C1057" s="10">
        <f>HYPERLINK("https://www.ibm.com/docs/en/storage-ceph/9.9.1?topic=configuration-storage-classes","https://www.ibm.com/docs/en/storage-ceph/9.9.1?topic=configuration-storage-classes")</f>
        <v/>
      </c>
    </row>
    <row r="1058" ht="18" customHeight="1">
      <c r="A1058" s="8" t="inlineStr">
        <is>
          <t>18.4.6.1</t>
        </is>
      </c>
      <c r="B1058" s="9" t="inlineStr">
        <is>
          <t xml:space="preserve">      Adding a storage class</t>
        </is>
      </c>
      <c r="C1058" s="10">
        <f>HYPERLINK("https://www.ibm.com/docs/en/storage-ceph/9.9.1?topic=classes-adding-storage-class","https://www.ibm.com/docs/en/storage-ceph/9.9.1?topic=classes-adding-storage-class")</f>
        <v/>
      </c>
    </row>
    <row r="1059" ht="18" customHeight="1">
      <c r="A1059" s="5" t="inlineStr">
        <is>
          <t>18.5</t>
        </is>
      </c>
      <c r="B1059" s="6" t="inlineStr">
        <is>
          <t xml:space="preserve">  Ceph Object Gateway data layout</t>
        </is>
      </c>
      <c r="C1059" s="7">
        <f>HYPERLINK("https://www.ibm.com/docs/en/storage-ceph/9.9.1?topic=gateway-ceph-object-data-layout","https://www.ibm.com/docs/en/storage-ceph/9.9.1?topic=gateway-ceph-object-data-layout")</f>
        <v/>
      </c>
    </row>
    <row r="1060" ht="18" customHeight="1">
      <c r="A1060" s="8" t="inlineStr">
        <is>
          <t>18.5.1</t>
        </is>
      </c>
      <c r="B1060" s="9" t="inlineStr">
        <is>
          <t xml:space="preserve">    Object lookup path</t>
        </is>
      </c>
      <c r="C1060" s="10">
        <f>HYPERLINK("https://www.ibm.com/docs/en/storage-ceph/9.9.1?topic=layout-object-lookup-path","https://www.ibm.com/docs/en/storage-ceph/9.9.1?topic=layout-object-lookup-path")</f>
        <v/>
      </c>
    </row>
    <row r="1061" ht="18" customHeight="1">
      <c r="A1061" s="8" t="inlineStr">
        <is>
          <t>18.5.2</t>
        </is>
      </c>
      <c r="B1061" s="9" t="inlineStr">
        <is>
          <t xml:space="preserve">    Multiple data pools</t>
        </is>
      </c>
      <c r="C1061" s="10">
        <f>HYPERLINK("https://www.ibm.com/docs/en/storage-ceph/9.9.1?topic=layout-multiple-data-pools","https://www.ibm.com/docs/en/storage-ceph/9.9.1?topic=layout-multiple-data-pools")</f>
        <v/>
      </c>
    </row>
    <row r="1062" ht="18" customHeight="1">
      <c r="A1062" s="8" t="inlineStr">
        <is>
          <t>18.5.3</t>
        </is>
      </c>
      <c r="B1062" s="9" t="inlineStr">
        <is>
          <t xml:space="preserve">    Optimize the Ceph Object Gateway's garbage collection</t>
        </is>
      </c>
      <c r="C1062" s="10">
        <f>HYPERLINK("https://www.ibm.com/docs/en/storage-ceph/9.9.1?topic=layout-optimize-ceph-object-gateways-garbage-collection","https://www.ibm.com/docs/en/storage-ceph/9.9.1?topic=layout-optimize-ceph-object-gateways-garbage-collection")</f>
        <v/>
      </c>
    </row>
    <row r="1063" ht="18" customHeight="1">
      <c r="A1063" s="8" t="inlineStr">
        <is>
          <t>18.5.3.1</t>
        </is>
      </c>
      <c r="B1063" s="9" t="inlineStr">
        <is>
          <t xml:space="preserve">      Viewing the garbage collection queue</t>
        </is>
      </c>
      <c r="C1063" s="10">
        <f>HYPERLINK("https://www.ibm.com/docs/en/storage-ceph/9.9.1?topic=collection-viewing-garbage-queue","https://www.ibm.com/docs/en/storage-ceph/9.9.1?topic=collection-viewing-garbage-queue")</f>
        <v/>
      </c>
    </row>
    <row r="1064" ht="18" customHeight="1">
      <c r="A1064" s="8" t="inlineStr">
        <is>
          <t>18.5.3.2</t>
        </is>
      </c>
      <c r="B1064" s="9" t="inlineStr">
        <is>
          <t xml:space="preserve">      Adjusting garbage collection settings</t>
        </is>
      </c>
      <c r="C1064" s="10">
        <f>HYPERLINK("https://www.ibm.com/docs/en/storage-ceph/9.9.1?topic=collection-adjusting-garbage-settings","https://www.ibm.com/docs/en/storage-ceph/9.9.1?topic=collection-adjusting-garbage-settings")</f>
        <v/>
      </c>
    </row>
    <row r="1065" ht="18" customHeight="1">
      <c r="A1065" s="8" t="inlineStr">
        <is>
          <t>18.5.3.3</t>
        </is>
      </c>
      <c r="B1065" s="9" t="inlineStr">
        <is>
          <t xml:space="preserve">      Adjusting garbage collection for delete-heavy workloads</t>
        </is>
      </c>
      <c r="C1065" s="10">
        <f>HYPERLINK("https://www.ibm.com/docs/en/storage-ceph/9.9.1?topic=collection-adjusting-garbage-delete-heavy-workloads","https://www.ibm.com/docs/en/storage-ceph/9.9.1?topic=collection-adjusting-garbage-delete-heavy-workloads")</f>
        <v/>
      </c>
    </row>
    <row r="1066" ht="18" customHeight="1">
      <c r="A1066" s="8" t="inlineStr">
        <is>
          <t>18.5.4</t>
        </is>
      </c>
      <c r="B1066" s="9" t="inlineStr">
        <is>
          <t xml:space="preserve">    Bucket and object listing</t>
        </is>
      </c>
      <c r="C1066" s="10">
        <f>HYPERLINK("https://www.ibm.com/docs/en/storage-ceph/9.9.1?topic=layout-bucket-object-listing","https://www.ibm.com/docs/en/storage-ceph/9.9.1?topic=layout-bucket-object-listing")</f>
        <v/>
      </c>
    </row>
    <row r="1067" ht="18" customHeight="1">
      <c r="A1067" s="8" t="inlineStr">
        <is>
          <t>18.5.5</t>
        </is>
      </c>
      <c r="B1067" s="9" t="inlineStr">
        <is>
          <t xml:space="preserve">    Object Gateway data layout parameters</t>
        </is>
      </c>
      <c r="C1067" s="10">
        <f>HYPERLINK("https://www.ibm.com/docs/en/storage-ceph/9.9.1?topic=layout-object-gateway-data-parameters","https://www.ibm.com/docs/en/storage-ceph/9.9.1?topic=layout-object-gateway-data-parameters")</f>
        <v/>
      </c>
    </row>
    <row r="1068" ht="18" customHeight="1">
      <c r="A1068" s="5" t="inlineStr">
        <is>
          <t>18.6</t>
        </is>
      </c>
      <c r="B1068" s="6" t="inlineStr">
        <is>
          <t xml:space="preserve">  Rate limits for ingesting data</t>
        </is>
      </c>
      <c r="C1068" s="7">
        <f>HYPERLINK("https://www.ibm.com/docs/en/storage-ceph/9.9.1?topic=gateway-rate-limits-ingesting-data","https://www.ibm.com/docs/en/storage-ceph/9.9.1?topic=gateway-rate-limits-ingesting-data")</f>
        <v/>
      </c>
    </row>
    <row r="1069" ht="18" customHeight="1">
      <c r="A1069" s="8" t="inlineStr">
        <is>
          <t>18.6.1</t>
        </is>
      </c>
      <c r="B1069" s="9" t="inlineStr">
        <is>
          <t xml:space="preserve">    Managing user rate limits</t>
        </is>
      </c>
      <c r="C1069" s="10">
        <f>HYPERLINK("https://www.ibm.com/docs/en/storage-ceph/9.9.1?topic=data-managing-user-rate-limits","https://www.ibm.com/docs/en/storage-ceph/9.9.1?topic=data-managing-user-rate-limits")</f>
        <v/>
      </c>
    </row>
    <row r="1070" ht="18" customHeight="1">
      <c r="A1070" s="8" t="inlineStr">
        <is>
          <t>18.6.2</t>
        </is>
      </c>
      <c r="B1070" s="9" t="inlineStr">
        <is>
          <t xml:space="preserve">    Managing bucket rate limits</t>
        </is>
      </c>
      <c r="C1070" s="10">
        <f>HYPERLINK("https://www.ibm.com/docs/en/storage-ceph/9.9.1?topic=data-managing-bucket-rate-limits","https://www.ibm.com/docs/en/storage-ceph/9.9.1?topic=data-managing-bucket-rate-limits")</f>
        <v/>
      </c>
    </row>
    <row r="1071" ht="18" customHeight="1">
      <c r="A1071" s="8" t="inlineStr">
        <is>
          <t>18.6.3</t>
        </is>
      </c>
      <c r="B1071" s="9" t="inlineStr">
        <is>
          <t xml:space="preserve">    Managing global rate limits</t>
        </is>
      </c>
      <c r="C1071" s="10">
        <f>HYPERLINK("https://www.ibm.com/docs/en/storage-ceph/9.9.1?topic=data-managing-global-rate-limits","https://www.ibm.com/docs/en/storage-ceph/9.9.1?topic=data-managing-global-rate-limits")</f>
        <v/>
      </c>
    </row>
    <row r="1072" ht="18" customHeight="1">
      <c r="A1072" s="5" t="inlineStr">
        <is>
          <t>18.7</t>
        </is>
      </c>
      <c r="B1072" s="6" t="inlineStr">
        <is>
          <t xml:space="preserve">  Authenticating with Ceph Object Gateway</t>
        </is>
      </c>
      <c r="C1072" s="7">
        <f>HYPERLINK("https://www.ibm.com/docs/en/storage-ceph/9.9.1?topic=gateway-authenticating-ceph-object","https://www.ibm.com/docs/en/storage-ceph/9.9.1?topic=gateway-authenticating-ceph-object")</f>
        <v/>
      </c>
    </row>
    <row r="1073" ht="18" customHeight="1">
      <c r="A1073" s="8" t="inlineStr">
        <is>
          <t>18.7.1</t>
        </is>
      </c>
      <c r="B1073" s="9" t="inlineStr">
        <is>
          <t xml:space="preserve">    LDAP integration</t>
        </is>
      </c>
      <c r="C1073" s="10">
        <f>HYPERLINK("https://www.ibm.com/docs/en/storage-ceph/9.9.1?topic=gateway-ldap-integration","https://www.ibm.com/docs/en/storage-ceph/9.9.1?topic=gateway-ldap-integration")</f>
        <v/>
      </c>
    </row>
    <row r="1074" ht="18" customHeight="1">
      <c r="A1074" s="8" t="inlineStr">
        <is>
          <t>18.7.1.1</t>
        </is>
      </c>
      <c r="B1074" s="9" t="inlineStr">
        <is>
          <t xml:space="preserve">      Installing the Red Hat Directory Server</t>
        </is>
      </c>
      <c r="C1074" s="10">
        <f>HYPERLINK("https://www.ibm.com/docs/en/storage-ceph/9.9.1?topic=integration-installing-red-hat-directory-server","https://www.ibm.com/docs/en/storage-ceph/9.9.1?topic=integration-installing-red-hat-directory-server")</f>
        <v/>
      </c>
    </row>
    <row r="1075" ht="18" customHeight="1">
      <c r="A1075" s="8" t="inlineStr">
        <is>
          <t>18.7.1.2</t>
        </is>
      </c>
      <c r="B1075" s="9" t="inlineStr">
        <is>
          <t xml:space="preserve">      Configuring LDAPS</t>
        </is>
      </c>
      <c r="C1075" s="10">
        <f>HYPERLINK("https://www.ibm.com/docs/en/storage-ceph/9.9.1?topic=integration-configuring-ldaps","https://www.ibm.com/docs/en/storage-ceph/9.9.1?topic=integration-configuring-ldaps")</f>
        <v/>
      </c>
    </row>
    <row r="1076" ht="18" customHeight="1">
      <c r="A1076" s="8" t="inlineStr">
        <is>
          <t>18.7.1.3</t>
        </is>
      </c>
      <c r="B1076" s="9" t="inlineStr">
        <is>
          <t xml:space="preserve">      Configuring the Directory Server firewall</t>
        </is>
      </c>
      <c r="C1076" s="10">
        <f>HYPERLINK("https://www.ibm.com/docs/en/storage-ceph/9.9.1?topic=integration-configuring-directory-server-firewall","https://www.ibm.com/docs/en/storage-ceph/9.9.1?topic=integration-configuring-directory-server-firewall")</f>
        <v/>
      </c>
    </row>
    <row r="1077" ht="18" customHeight="1">
      <c r="A1077" s="8" t="inlineStr">
        <is>
          <t>18.7.1.4</t>
        </is>
      </c>
      <c r="B1077" s="9" t="inlineStr">
        <is>
          <t xml:space="preserve">      Labeling ports for SELinux</t>
        </is>
      </c>
      <c r="C1077" s="10">
        <f>HYPERLINK("https://www.ibm.com/docs/en/storage-ceph/9.9.1?topic=integration-labeling-ports-selinux","https://www.ibm.com/docs/en/storage-ceph/9.9.1?topic=integration-labeling-ports-selinux")</f>
        <v/>
      </c>
    </row>
    <row r="1078" ht="18" customHeight="1">
      <c r="A1078" s="8" t="inlineStr">
        <is>
          <t>18.7.1.5</t>
        </is>
      </c>
      <c r="B1078" s="9" t="inlineStr">
        <is>
          <t xml:space="preserve">      Adding a gateway user</t>
        </is>
      </c>
      <c r="C1078" s="10">
        <f>HYPERLINK("https://www.ibm.com/docs/en/storage-ceph/9.9.1?topic=integration-adding-gateway-user","https://www.ibm.com/docs/en/storage-ceph/9.9.1?topic=integration-adding-gateway-user")</f>
        <v/>
      </c>
    </row>
    <row r="1079" ht="18" customHeight="1">
      <c r="A1079" s="8" t="inlineStr">
        <is>
          <t>18.7.1.6</t>
        </is>
      </c>
      <c r="B1079" s="9" t="inlineStr">
        <is>
          <t xml:space="preserve">      Configuring the gateway to use LDAP</t>
        </is>
      </c>
      <c r="C1079" s="10">
        <f>HYPERLINK("https://www.ibm.com/docs/en/storage-ceph/9.9.1?topic=integration-configuring-gateway-use-ldap","https://www.ibm.com/docs/en/storage-ceph/9.9.1?topic=integration-configuring-gateway-use-ldap")</f>
        <v/>
      </c>
    </row>
    <row r="1080" ht="18" customHeight="1">
      <c r="A1080" s="8" t="inlineStr">
        <is>
          <t>18.7.1.7</t>
        </is>
      </c>
      <c r="B1080" s="9" t="inlineStr">
        <is>
          <t xml:space="preserve">      Using a custom search filter</t>
        </is>
      </c>
      <c r="C1080" s="10">
        <f>HYPERLINK("https://www.ibm.com/docs/en/storage-ceph/9.9.1?topic=integration-using-custom-search-filter","https://www.ibm.com/docs/en/storage-ceph/9.9.1?topic=integration-using-custom-search-filter")</f>
        <v/>
      </c>
    </row>
    <row r="1081" ht="18" customHeight="1">
      <c r="A1081" s="8" t="inlineStr">
        <is>
          <t>18.7.1.8</t>
        </is>
      </c>
      <c r="B1081" s="9" t="inlineStr">
        <is>
          <t xml:space="preserve">      Adding an S3 user to the LDAP server</t>
        </is>
      </c>
      <c r="C1081" s="10">
        <f>HYPERLINK("https://www.ibm.com/docs/en/storage-ceph/9.9.1?topic=integration-adding-s3-user-ldap-server","https://www.ibm.com/docs/en/storage-ceph/9.9.1?topic=integration-adding-s3-user-ldap-server")</f>
        <v/>
      </c>
    </row>
    <row r="1082" ht="18" customHeight="1">
      <c r="A1082" s="8" t="inlineStr">
        <is>
          <t>18.7.1.9</t>
        </is>
      </c>
      <c r="B1082" s="9" t="inlineStr">
        <is>
          <t xml:space="preserve">      Exporting an LDAP token</t>
        </is>
      </c>
      <c r="C1082" s="10">
        <f>HYPERLINK("https://www.ibm.com/docs/en/storage-ceph/9.9.1?topic=integration-exporting-ldap-token","https://www.ibm.com/docs/en/storage-ceph/9.9.1?topic=integration-exporting-ldap-token")</f>
        <v/>
      </c>
    </row>
    <row r="1083" ht="18" customHeight="1">
      <c r="A1083" s="8" t="inlineStr">
        <is>
          <t>18.7.1.10</t>
        </is>
      </c>
      <c r="B1083" s="9" t="inlineStr">
        <is>
          <t xml:space="preserve">      Testing the configuration with an S3 client</t>
        </is>
      </c>
      <c r="C1083" s="10">
        <f>HYPERLINK("https://www.ibm.com/docs/en/storage-ceph/9.9.1?topic=integration-testing-configuration-s3-client","https://www.ibm.com/docs/en/storage-ceph/9.9.1?topic=integration-testing-configuration-s3-client")</f>
        <v/>
      </c>
    </row>
    <row r="1084" ht="18" customHeight="1">
      <c r="A1084" s="8" t="inlineStr">
        <is>
          <t>18.7.2</t>
        </is>
      </c>
      <c r="B1084" s="9" t="inlineStr">
        <is>
          <t xml:space="preserve">    Active Directory integration</t>
        </is>
      </c>
      <c r="C1084" s="10">
        <f>HYPERLINK("https://www.ibm.com/docs/en/storage-ceph/9.9.1?topic=gateway-active-directory-integration","https://www.ibm.com/docs/en/storage-ceph/9.9.1?topic=gateway-active-directory-integration")</f>
        <v/>
      </c>
    </row>
    <row r="1085" ht="18" customHeight="1">
      <c r="A1085" s="8" t="inlineStr">
        <is>
          <t>18.7.2.1</t>
        </is>
      </c>
      <c r="B1085" s="9" t="inlineStr">
        <is>
          <t xml:space="preserve">      Using Microsoft Active Directory</t>
        </is>
      </c>
      <c r="C1085" s="10">
        <f>HYPERLINK("https://www.ibm.com/docs/en/storage-ceph/9.9.1?topic=integration-using-microsoft-active-directory","https://www.ibm.com/docs/en/storage-ceph/9.9.1?topic=integration-using-microsoft-active-directory")</f>
        <v/>
      </c>
    </row>
    <row r="1086" ht="18" customHeight="1">
      <c r="A1086" s="8" t="inlineStr">
        <is>
          <t>18.7.2.2</t>
        </is>
      </c>
      <c r="B1086" s="9" t="inlineStr">
        <is>
          <t xml:space="preserve">      Configuring Active Directory for LDAPS</t>
        </is>
      </c>
      <c r="C1086" s="10">
        <f>HYPERLINK("https://www.ibm.com/docs/en/storage-ceph/9.9.1?topic=integration-configuring-active-directory-ldaps","https://www.ibm.com/docs/en/storage-ceph/9.9.1?topic=integration-configuring-active-directory-ldaps")</f>
        <v/>
      </c>
    </row>
    <row r="1087" ht="18" customHeight="1">
      <c r="A1087" s="8" t="inlineStr">
        <is>
          <t>18.7.2.3</t>
        </is>
      </c>
      <c r="B1087" s="9" t="inlineStr">
        <is>
          <t xml:space="preserve">      Adding a gateway user</t>
        </is>
      </c>
      <c r="C1087" s="10">
        <f>HYPERLINK("https://www.ibm.com/docs/en/storage-ceph/9.9.1?topic=adi-adding-gateway-user","https://www.ibm.com/docs/en/storage-ceph/9.9.1?topic=adi-adding-gateway-user")</f>
        <v/>
      </c>
    </row>
    <row r="1088" ht="18" customHeight="1">
      <c r="A1088" s="8" t="inlineStr">
        <is>
          <t>18.7.2.4</t>
        </is>
      </c>
      <c r="B1088" s="9" t="inlineStr">
        <is>
          <t xml:space="preserve">      Configuring the gateway to use Active Directory</t>
        </is>
      </c>
      <c r="C1088" s="10">
        <f>HYPERLINK("https://www.ibm.com/docs/en/storage-ceph/9.9.1?topic=integration-configuring-gateway-use-active-directory","https://www.ibm.com/docs/en/storage-ceph/9.9.1?topic=integration-configuring-gateway-use-active-directory")</f>
        <v/>
      </c>
    </row>
    <row r="1089" ht="18" customHeight="1">
      <c r="A1089" s="8" t="inlineStr">
        <is>
          <t>18.7.2.5</t>
        </is>
      </c>
      <c r="B1089" s="9" t="inlineStr">
        <is>
          <t xml:space="preserve">      Adding an S3 user to the LDAP server</t>
        </is>
      </c>
      <c r="C1089" s="10">
        <f>HYPERLINK("https://www.ibm.com/docs/en/storage-ceph/9.9.1?topic=adi-adding-s3-user-ldap-server","https://www.ibm.com/docs/en/storage-ceph/9.9.1?topic=adi-adding-s3-user-ldap-server")</f>
        <v/>
      </c>
    </row>
    <row r="1090" ht="18" customHeight="1">
      <c r="A1090" s="8" t="inlineStr">
        <is>
          <t>18.7.2.6</t>
        </is>
      </c>
      <c r="B1090" s="9" t="inlineStr">
        <is>
          <t xml:space="preserve">      Exporting an LDAP token</t>
        </is>
      </c>
      <c r="C1090" s="10">
        <f>HYPERLINK("https://www.ibm.com/docs/en/storage-ceph/9.9.1?topic=adi-exporting-ldap-token","https://www.ibm.com/docs/en/storage-ceph/9.9.1?topic=adi-exporting-ldap-token")</f>
        <v/>
      </c>
    </row>
    <row r="1091" ht="18" customHeight="1">
      <c r="A1091" s="8" t="inlineStr">
        <is>
          <t>18.7.2.7</t>
        </is>
      </c>
      <c r="B1091" s="9" t="inlineStr">
        <is>
          <t xml:space="preserve">      Testing the configuration with an S3 client</t>
        </is>
      </c>
      <c r="C1091" s="10">
        <f>HYPERLINK("https://www.ibm.com/docs/en/storage-ceph/9.9.1?topic=adi-testing-configuration-s3-client","https://www.ibm.com/docs/en/storage-ceph/9.9.1?topic=adi-testing-configuration-s3-client")</f>
        <v/>
      </c>
    </row>
    <row r="1092" ht="18" customHeight="1">
      <c r="A1092" s="8" t="inlineStr">
        <is>
          <t>18.7.3</t>
        </is>
      </c>
      <c r="B1092" s="9" t="inlineStr">
        <is>
          <t xml:space="preserve">    OpenStack Keystone integration</t>
        </is>
      </c>
      <c r="C1092" s="10">
        <f>HYPERLINK("https://www.ibm.com/docs/en/storage-ceph/9.9.1?topic=gateway-openstack-keystone-integration","https://www.ibm.com/docs/en/storage-ceph/9.9.1?topic=gateway-openstack-keystone-integration")</f>
        <v/>
      </c>
    </row>
    <row r="1093" ht="18" customHeight="1">
      <c r="A1093" s="8" t="inlineStr">
        <is>
          <t>18.7.3.1</t>
        </is>
      </c>
      <c r="B1093" s="9" t="inlineStr">
        <is>
          <t xml:space="preserve">      Keystone authentication and the Ceph Object Gateway</t>
        </is>
      </c>
      <c r="C1093" s="10">
        <f>HYPERLINK("https://www.ibm.com/docs/en/storage-ceph/9.9.1?topic=integration-keystone-authentication-ceph-object-gateway","https://www.ibm.com/docs/en/storage-ceph/9.9.1?topic=integration-keystone-authentication-ceph-object-gateway")</f>
        <v/>
      </c>
    </row>
    <row r="1094" ht="18" customHeight="1">
      <c r="A1094" s="8" t="inlineStr">
        <is>
          <t>18.7.3.2</t>
        </is>
      </c>
      <c r="B1094" s="9" t="inlineStr">
        <is>
          <t xml:space="preserve">      Creating the Swift service</t>
        </is>
      </c>
      <c r="C1094" s="10">
        <f>HYPERLINK("https://www.ibm.com/docs/en/storage-ceph/9.9.1?topic=integration-creating-swift-service","https://www.ibm.com/docs/en/storage-ceph/9.9.1?topic=integration-creating-swift-service")</f>
        <v/>
      </c>
    </row>
    <row r="1095" ht="18" customHeight="1">
      <c r="A1095" s="8" t="inlineStr">
        <is>
          <t>18.7.3.3</t>
        </is>
      </c>
      <c r="B1095" s="9" t="inlineStr">
        <is>
          <t xml:space="preserve">      Setting the Ceph Object Gateway endpoints</t>
        </is>
      </c>
      <c r="C1095" s="10">
        <f>HYPERLINK("https://www.ibm.com/docs/en/storage-ceph/9.9.1?topic=integration-setting-ceph-object-gateway-endpoints","https://www.ibm.com/docs/en/storage-ceph/9.9.1?topic=integration-setting-ceph-object-gateway-endpoints")</f>
        <v/>
      </c>
    </row>
    <row r="1096" ht="18" customHeight="1">
      <c r="A1096" s="8" t="inlineStr">
        <is>
          <t>18.7.3.4</t>
        </is>
      </c>
      <c r="B1096" s="9" t="inlineStr">
        <is>
          <t xml:space="preserve">      Verifying Openstack is using the Ceph Object Gateway endpoints</t>
        </is>
      </c>
      <c r="C1096" s="10">
        <f>HYPERLINK("https://www.ibm.com/docs/en/storage-ceph/9.9.1?topic=oki-verifying-openstack-is-using-ceph-object-gateway-endpoints","https://www.ibm.com/docs/en/storage-ceph/9.9.1?topic=oki-verifying-openstack-is-using-ceph-object-gateway-endpoints")</f>
        <v/>
      </c>
    </row>
    <row r="1097" ht="18" customHeight="1">
      <c r="A1097" s="8" t="inlineStr">
        <is>
          <t>18.7.3.5</t>
        </is>
      </c>
      <c r="B1097" s="9" t="inlineStr">
        <is>
          <t xml:space="preserve">      Configuring the Ceph Object Gateway to use Keystone SSL</t>
        </is>
      </c>
      <c r="C1097" s="10">
        <f>HYPERLINK("https://www.ibm.com/docs/en/storage-ceph/9.9.1?topic=integration-configuring-ceph-object-gateway-use-keystone-ssl","https://www.ibm.com/docs/en/storage-ceph/9.9.1?topic=integration-configuring-ceph-object-gateway-use-keystone-ssl")</f>
        <v/>
      </c>
    </row>
    <row r="1098" ht="18" customHeight="1">
      <c r="A1098" s="8" t="inlineStr">
        <is>
          <t>18.7.3.6</t>
        </is>
      </c>
      <c r="B1098" s="9" t="inlineStr">
        <is>
          <t xml:space="preserve">      Configuring the Ceph Object Gateway to use Keystone authentication</t>
        </is>
      </c>
      <c r="C1098" s="10">
        <f>HYPERLINK("https://www.ibm.com/docs/en/storage-ceph/9.9.1?topic=integration-configuring-ceph-object-gateway-use-keystone-authentication","https://www.ibm.com/docs/en/storage-ceph/9.9.1?topic=integration-configuring-ceph-object-gateway-use-keystone-authentication")</f>
        <v/>
      </c>
    </row>
    <row r="1099" ht="18" customHeight="1">
      <c r="A1099" s="8" t="inlineStr">
        <is>
          <t>18.7.3.7</t>
        </is>
      </c>
      <c r="B1099" s="9" t="inlineStr">
        <is>
          <t xml:space="preserve">      Restarting the Ceph Object Gateway daemon</t>
        </is>
      </c>
      <c r="C1099" s="10">
        <f>HYPERLINK("https://www.ibm.com/docs/en/storage-ceph/9.9.1?topic=integration-restarting-ceph-object-gateway-daemon","https://www.ibm.com/docs/en/storage-ceph/9.9.1?topic=integration-restarting-ceph-object-gateway-daemon")</f>
        <v/>
      </c>
    </row>
    <row r="1100" ht="18" customHeight="1">
      <c r="A1100" s="8" t="inlineStr">
        <is>
          <t>18.7.4</t>
        </is>
      </c>
      <c r="B1100" s="9" t="inlineStr">
        <is>
          <t xml:space="preserve">    Secure Token Service</t>
        </is>
      </c>
      <c r="C1100" s="10">
        <f>HYPERLINK("https://www.ibm.com/docs/en/storage-ceph/9.9.1?topic=gateway-secure-token-service","https://www.ibm.com/docs/en/storage-ceph/9.9.1?topic=gateway-secure-token-service")</f>
        <v/>
      </c>
    </row>
    <row r="1101" ht="18" customHeight="1">
      <c r="A1101" s="8" t="inlineStr">
        <is>
          <t>18.7.4.1</t>
        </is>
      </c>
      <c r="B1101" s="9" t="inlineStr">
        <is>
          <t xml:space="preserve">      Secure Token Service application programming interfaces</t>
        </is>
      </c>
      <c r="C1101" s="10">
        <f>HYPERLINK("https://www.ibm.com/docs/en/storage-ceph/9.9.1?topic=service-secure-token-application-programming-interfaces","https://www.ibm.com/docs/en/storage-ceph/9.9.1?topic=service-secure-token-application-programming-interfaces")</f>
        <v/>
      </c>
    </row>
    <row r="1102" ht="18" customHeight="1">
      <c r="A1102" s="8" t="inlineStr">
        <is>
          <t>18.7.4.2</t>
        </is>
      </c>
      <c r="B1102" s="9" t="inlineStr">
        <is>
          <t xml:space="preserve">      Configuring the Secure Token Service</t>
        </is>
      </c>
      <c r="C1102" s="10">
        <f>HYPERLINK("https://www.ibm.com/docs/en/storage-ceph/9.9.1?topic=service-configuring-secure-token","https://www.ibm.com/docs/en/storage-ceph/9.9.1?topic=service-configuring-secure-token")</f>
        <v/>
      </c>
    </row>
    <row r="1103" ht="18" customHeight="1">
      <c r="A1103" s="8" t="inlineStr">
        <is>
          <t>18.7.4.3</t>
        </is>
      </c>
      <c r="B1103" s="9" t="inlineStr">
        <is>
          <t xml:space="preserve">      Creating a user for an OpenID Connect provider</t>
        </is>
      </c>
      <c r="C1103" s="10">
        <f>HYPERLINK("https://www.ibm.com/docs/en/storage-ceph/9.9.1?topic=service-creating-user-openid-connect-provider","https://www.ibm.com/docs/en/storage-ceph/9.9.1?topic=service-creating-user-openid-connect-provider")</f>
        <v/>
      </c>
    </row>
    <row r="1104" ht="18" customHeight="1">
      <c r="A1104" s="8" t="inlineStr">
        <is>
          <t>18.7.4.4</t>
        </is>
      </c>
      <c r="B1104" s="9" t="inlineStr">
        <is>
          <t xml:space="preserve">      Obtaining a thumbprint of an OpenID Connect provider</t>
        </is>
      </c>
      <c r="C1104" s="10">
        <f>HYPERLINK("https://www.ibm.com/docs/en/storage-ceph/9.9.1?topic=service-obtaining-thumbprint-openid-connect-provider","https://www.ibm.com/docs/en/storage-ceph/9.9.1?topic=service-obtaining-thumbprint-openid-connect-provider")</f>
        <v/>
      </c>
    </row>
    <row r="1105" ht="18" customHeight="1">
      <c r="A1105" s="8" t="inlineStr">
        <is>
          <t>18.7.4.5</t>
        </is>
      </c>
      <c r="B1105" s="9" t="inlineStr">
        <is>
          <t xml:space="preserve">      Registering the OpenID Connect provider</t>
        </is>
      </c>
      <c r="C1105" s="10">
        <f>HYPERLINK("https://www.ibm.com/docs/en/storage-ceph/9.9.1?topic=service-registering-openid-connect-provider","https://www.ibm.com/docs/en/storage-ceph/9.9.1?topic=service-registering-openid-connect-provider")</f>
        <v/>
      </c>
    </row>
    <row r="1106" ht="18" customHeight="1">
      <c r="A1106" s="8" t="inlineStr">
        <is>
          <t>18.7.4.6</t>
        </is>
      </c>
      <c r="B1106" s="9" t="inlineStr">
        <is>
          <t xml:space="preserve">      Creating IAM roles and policies</t>
        </is>
      </c>
      <c r="C1106" s="10">
        <f>HYPERLINK("https://www.ibm.com/docs/en/storage-ceph/9.9.1?topic=service-creating-iam-roles-policies","https://www.ibm.com/docs/en/storage-ceph/9.9.1?topic=service-creating-iam-roles-policies")</f>
        <v/>
      </c>
    </row>
    <row r="1107" ht="18" customHeight="1">
      <c r="A1107" s="8" t="inlineStr">
        <is>
          <t>18.7.4.7</t>
        </is>
      </c>
      <c r="B1107" s="9" t="inlineStr">
        <is>
          <t xml:space="preserve">      Accessing S3 resources</t>
        </is>
      </c>
      <c r="C1107" s="10">
        <f>HYPERLINK("https://www.ibm.com/docs/en/storage-ceph/9.9.1?topic=service-accessing-s3-resources","https://www.ibm.com/docs/en/storage-ceph/9.9.1?topic=service-accessing-s3-resources")</f>
        <v/>
      </c>
    </row>
    <row r="1108" ht="18" customHeight="1">
      <c r="A1108" s="8" t="inlineStr">
        <is>
          <t>18.7.4.8</t>
        </is>
      </c>
      <c r="B1108" s="9" t="inlineStr">
        <is>
          <t xml:space="preserve">      Configuring and using STS Lite with Keystone (Technology Preview)</t>
        </is>
      </c>
      <c r="C1108" s="10">
        <f>HYPERLINK("https://www.ibm.com/docs/en/storage-ceph/9.9.1?topic=service-configuring-using-sts-lite-keystone-technology-preview","https://www.ibm.com/docs/en/storage-ceph/9.9.1?topic=service-configuring-using-sts-lite-keystone-technology-preview")</f>
        <v/>
      </c>
    </row>
    <row r="1109" ht="18" customHeight="1">
      <c r="A1109" s="8" t="inlineStr">
        <is>
          <t>18.7.4.9</t>
        </is>
      </c>
      <c r="B1109" s="9" t="inlineStr">
        <is>
          <t xml:space="preserve">      Working around the limitations of using STS Lite with Keystone (Technology Preview)</t>
        </is>
      </c>
      <c r="C1109" s="10">
        <f>HYPERLINK("https://www.ibm.com/docs/en/storage-ceph/9.9.1?topic=sts-working-around-limitations-using-sts-lite-keystone-technology-preview","https://www.ibm.com/docs/en/storage-ceph/9.9.1?topic=sts-working-around-limitations-using-sts-lite-keystone-technology-preview")</f>
        <v/>
      </c>
    </row>
    <row r="1110" ht="18" customHeight="1">
      <c r="A1110" s="5" t="inlineStr">
        <is>
          <t>18.8</t>
        </is>
      </c>
      <c r="B1110" s="6" t="inlineStr">
        <is>
          <t xml:space="preserve">  Security</t>
        </is>
      </c>
      <c r="C1110" s="7">
        <f>HYPERLINK("https://www.ibm.com/docs/en/storage-ceph/9.9.1?topic=gateway-security","https://www.ibm.com/docs/en/storage-ceph/9.9.1?topic=gateway-security")</f>
        <v/>
      </c>
    </row>
    <row r="1111" ht="18" customHeight="1">
      <c r="A1111" s="8" t="inlineStr">
        <is>
          <t>18.8.1</t>
        </is>
      </c>
      <c r="B1111" s="9" t="inlineStr">
        <is>
          <t xml:space="preserve">    QAT acceleration for encryption and compression</t>
        </is>
      </c>
      <c r="C1111" s="10">
        <f>HYPERLINK("https://www.ibm.com/docs/en/storage-ceph/9.9.1?topic=security-qat-acceleration-encryption-compression","https://www.ibm.com/docs/en/storage-ceph/9.9.1?topic=security-qat-acceleration-encryption-compression")</f>
        <v/>
      </c>
    </row>
    <row r="1112" ht="18" customHeight="1">
      <c r="A1112" s="8" t="inlineStr">
        <is>
          <t>18.8.2</t>
        </is>
      </c>
      <c r="B1112" s="9" t="inlineStr">
        <is>
          <t xml:space="preserve">    Server side encryption</t>
        </is>
      </c>
      <c r="C1112" s="10">
        <f>HYPERLINK("https://www.ibm.com/docs/en/storage-ceph/9.9.1?topic=security-server-side-encryption","https://www.ibm.com/docs/en/storage-ceph/9.9.1?topic=security-server-side-encryption")</f>
        <v/>
      </c>
    </row>
    <row r="1113" ht="18" customHeight="1">
      <c r="A1113" s="8" t="inlineStr">
        <is>
          <t>18.8.2.1</t>
        </is>
      </c>
      <c r="B1113" s="9" t="inlineStr">
        <is>
          <t xml:space="preserve">      Encryption at rest and in transit</t>
        </is>
      </c>
      <c r="C1113" s="10">
        <f>HYPERLINK("https://www.ibm.com/docs/en/storage-ceph/9.9.1?topic=encryption-rest-in-transit","https://www.ibm.com/docs/en/storage-ceph/9.9.1?topic=encryption-rest-in-transit")</f>
        <v/>
      </c>
    </row>
    <row r="1114" ht="18" customHeight="1">
      <c r="A1114" s="8" t="inlineStr">
        <is>
          <t>18.8.2.2</t>
        </is>
      </c>
      <c r="B1114" s="9" t="inlineStr">
        <is>
          <t xml:space="preserve">      Setting the default encryption for an existing S3 bucket</t>
        </is>
      </c>
      <c r="C1114" s="10">
        <f>HYPERLINK("https://www.ibm.com/docs/en/storage-ceph/9.9.1?topic=encryption-setting-default-existing-s3-bucket","https://www.ibm.com/docs/en/storage-ceph/9.9.1?topic=encryption-setting-default-existing-s3-bucket")</f>
        <v/>
      </c>
    </row>
    <row r="1115" ht="18" customHeight="1">
      <c r="A1115" s="8" t="inlineStr">
        <is>
          <t>18.8.2.3</t>
        </is>
      </c>
      <c r="B1115" s="9" t="inlineStr">
        <is>
          <t xml:space="preserve">      Deleting the default bucket encryption</t>
        </is>
      </c>
      <c r="C1115" s="10">
        <f>HYPERLINK("https://www.ibm.com/docs/en/storage-ceph/9.9.1?topic=encryption-deleting-default-bucket","https://www.ibm.com/docs/en/storage-ceph/9.9.1?topic=encryption-deleting-default-bucket")</f>
        <v/>
      </c>
    </row>
    <row r="1116" ht="18" customHeight="1">
      <c r="A1116" s="8" t="inlineStr">
        <is>
          <t>18.8.2.4</t>
        </is>
      </c>
      <c r="B1116" s="9" t="inlineStr">
        <is>
          <t xml:space="preserve">      Server-side encryption requests</t>
        </is>
      </c>
      <c r="C1116" s="10">
        <f>HYPERLINK("https://www.ibm.com/docs/en/storage-ceph/9.9.1?topic=encryption-server-side-requests","https://www.ibm.com/docs/en/storage-ceph/9.9.1?topic=encryption-server-side-requests")</f>
        <v/>
      </c>
    </row>
    <row r="1117" ht="18" customHeight="1">
      <c r="A1117" s="8" t="inlineStr">
        <is>
          <t>18.8.2.5</t>
        </is>
      </c>
      <c r="B1117" s="9" t="inlineStr">
        <is>
          <t xml:space="preserve">      Configuring server-side encryption</t>
        </is>
      </c>
      <c r="C1117" s="10">
        <f>HYPERLINK("https://www.ibm.com/docs/en/storage-ceph/9.9.1?topic=encryption-configuring-server-side","https://www.ibm.com/docs/en/storage-ceph/9.9.1?topic=encryption-configuring-server-side")</f>
        <v/>
      </c>
    </row>
    <row r="1118" ht="18" customHeight="1">
      <c r="A1118" s="8" t="inlineStr">
        <is>
          <t>18.8.2.5.1</t>
        </is>
      </c>
      <c r="B1118" s="9" t="inlineStr">
        <is>
          <t xml:space="preserve">        Using HashiCorp Vault</t>
        </is>
      </c>
      <c r="C1118" s="10">
        <f>HYPERLINK("https://www.ibm.com/docs/en/storage-ceph/9.9.1?topic=encryption-using-hashicorp-vault","https://www.ibm.com/docs/en/storage-ceph/9.9.1?topic=encryption-using-hashicorp-vault")</f>
        <v/>
      </c>
    </row>
    <row r="1119" ht="18" customHeight="1">
      <c r="A1119" s="8" t="inlineStr">
        <is>
          <t>18.8.2.5.1.1</t>
        </is>
      </c>
      <c r="B1119" s="9" t="inlineStr">
        <is>
          <t xml:space="preserve">          Secret engines for Vault</t>
        </is>
      </c>
      <c r="C1119" s="10">
        <f>HYPERLINK("https://www.ibm.com/docs/en/storage-ceph/9.9.1?topic=vault-secret-engines","https://www.ibm.com/docs/en/storage-ceph/9.9.1?topic=vault-secret-engines")</f>
        <v/>
      </c>
    </row>
    <row r="1120" ht="18" customHeight="1">
      <c r="A1120" s="8" t="inlineStr">
        <is>
          <t>18.8.2.5.1.2</t>
        </is>
      </c>
      <c r="B1120" s="9" t="inlineStr">
        <is>
          <t xml:space="preserve">          Authentication for Vault</t>
        </is>
      </c>
      <c r="C1120" s="10">
        <f>HYPERLINK("https://www.ibm.com/docs/en/storage-ceph/9.9.1?topic=vault-authentication","https://www.ibm.com/docs/en/storage-ceph/9.9.1?topic=vault-authentication")</f>
        <v/>
      </c>
    </row>
    <row r="1121" ht="18" customHeight="1">
      <c r="A1121" s="8" t="inlineStr">
        <is>
          <t>18.8.2.5.1.3</t>
        </is>
      </c>
      <c r="B1121" s="9" t="inlineStr">
        <is>
          <t xml:space="preserve">          Namespaces for Vault</t>
        </is>
      </c>
      <c r="C1121" s="10">
        <f>HYPERLINK("https://www.ibm.com/docs/en/storage-ceph/9.9.1?topic=vault-namespaces","https://www.ibm.com/docs/en/storage-ceph/9.9.1?topic=vault-namespaces")</f>
        <v/>
      </c>
    </row>
    <row r="1122" ht="18" customHeight="1">
      <c r="A1122" s="8" t="inlineStr">
        <is>
          <t>18.8.2.5.1.4</t>
        </is>
      </c>
      <c r="B1122" s="9" t="inlineStr">
        <is>
          <t xml:space="preserve">          Transit engine compatibility support</t>
        </is>
      </c>
      <c r="C1122" s="10">
        <f>HYPERLINK("https://www.ibm.com/docs/en/storage-ceph/9.9.1?topic=vault-transit-engine-compatibility-support","https://www.ibm.com/docs/en/storage-ceph/9.9.1?topic=vault-transit-engine-compatibility-support")</f>
        <v/>
      </c>
    </row>
    <row r="1123" ht="18" customHeight="1">
      <c r="A1123" s="8" t="inlineStr">
        <is>
          <t>18.8.2.5.1.5</t>
        </is>
      </c>
      <c r="B1123" s="9" t="inlineStr">
        <is>
          <t xml:space="preserve">          Creating token policies for Vault</t>
        </is>
      </c>
      <c r="C1123" s="10">
        <f>HYPERLINK("https://www.ibm.com/docs/en/storage-ceph/9.9.1?topic=vault-creating-token-policies","https://www.ibm.com/docs/en/storage-ceph/9.9.1?topic=vault-creating-token-policies")</f>
        <v/>
      </c>
    </row>
    <row r="1124" ht="18" customHeight="1">
      <c r="A1124" s="8" t="inlineStr">
        <is>
          <t>18.8.2.5.1.6</t>
        </is>
      </c>
      <c r="B1124" s="9" t="inlineStr">
        <is>
          <t xml:space="preserve">          Configuring the Ceph Object Gateway to use SSE-S3 with Vault</t>
        </is>
      </c>
      <c r="C1124" s="10">
        <f>HYPERLINK("https://www.ibm.com/docs/en/storage-ceph/9.9.1?topic=uhv-configuring-ceph-object-gateway-use-sse-s3-vault","https://www.ibm.com/docs/en/storage-ceph/9.9.1?topic=uhv-configuring-ceph-object-gateway-use-sse-s3-vault")</f>
        <v/>
      </c>
    </row>
    <row r="1125" ht="18" customHeight="1">
      <c r="A1125" s="8" t="inlineStr">
        <is>
          <t>18.8.2.5.1.7</t>
        </is>
      </c>
      <c r="B1125" s="9" t="inlineStr">
        <is>
          <t xml:space="preserve">          Creating a key using the kv engine</t>
        </is>
      </c>
      <c r="C1125" s="10">
        <f>HYPERLINK("https://www.ibm.com/docs/en/storage-ceph/9.9.1?topic=vault-creating-key-using-kv-engine","https://www.ibm.com/docs/en/storage-ceph/9.9.1?topic=vault-creating-key-using-kv-engine")</f>
        <v/>
      </c>
    </row>
    <row r="1126" ht="18" customHeight="1">
      <c r="A1126" s="8" t="inlineStr">
        <is>
          <t>18.8.2.5.1.8</t>
        </is>
      </c>
      <c r="B1126" s="9" t="inlineStr">
        <is>
          <t xml:space="preserve">          Creating a key using the transit engine</t>
        </is>
      </c>
      <c r="C1126" s="10">
        <f>HYPERLINK("https://www.ibm.com/docs/en/storage-ceph/9.9.1?topic=vault-creating-key-using-transit-engine","https://www.ibm.com/docs/en/storage-ceph/9.9.1?topic=vault-creating-key-using-transit-engine")</f>
        <v/>
      </c>
    </row>
    <row r="1127" ht="18" customHeight="1">
      <c r="A1127" s="8" t="inlineStr">
        <is>
          <t>18.8.2.5.1.9</t>
        </is>
      </c>
      <c r="B1127" s="9" t="inlineStr">
        <is>
          <t xml:space="preserve">          Uploading an object using AWS and the Vault</t>
        </is>
      </c>
      <c r="C1127" s="10">
        <f>HYPERLINK("https://www.ibm.com/docs/en/storage-ceph/9.9.1?topic=vault-uploading-object-using-aws","https://www.ibm.com/docs/en/storage-ceph/9.9.1?topic=vault-uploading-object-using-aws")</f>
        <v/>
      </c>
    </row>
    <row r="1128" ht="18" customHeight="1">
      <c r="A1128" s="8" t="inlineStr">
        <is>
          <t>18.8.2.5.2</t>
        </is>
      </c>
      <c r="B1128" s="9" t="inlineStr">
        <is>
          <t xml:space="preserve">        Using IBM GKLM</t>
        </is>
      </c>
      <c r="C1128" s="10">
        <f>HYPERLINK("https://www.ibm.com/docs/en/storage-ceph/9.9.1?topic=encryption-using-gklm","https://www.ibm.com/docs/en/storage-ceph/9.9.1?topic=encryption-using-gklm")</f>
        <v/>
      </c>
    </row>
    <row r="1129" ht="18" customHeight="1">
      <c r="A1129" s="8" t="inlineStr">
        <is>
          <t>18.8.3</t>
        </is>
      </c>
      <c r="B1129" s="9" t="inlineStr">
        <is>
          <t xml:space="preserve">    Multi-factor authentication</t>
        </is>
      </c>
      <c r="C1129" s="10">
        <f>HYPERLINK("https://www.ibm.com/docs/en/storage-ceph/9.9.1?topic=security-multi-factor-authentication","https://www.ibm.com/docs/en/storage-ceph/9.9.1?topic=security-multi-factor-authentication")</f>
        <v/>
      </c>
    </row>
    <row r="1130" ht="18" customHeight="1">
      <c r="A1130" s="8" t="inlineStr">
        <is>
          <t>18.8.3.1</t>
        </is>
      </c>
      <c r="B1130" s="9" t="inlineStr">
        <is>
          <t xml:space="preserve">      Creating a seed for multi-factor authentication</t>
        </is>
      </c>
      <c r="C1130" s="10">
        <f>HYPERLINK("https://www.ibm.com/docs/en/storage-ceph/9.9.1?topic=authentication-creating-seed-multi-factor","https://www.ibm.com/docs/en/storage-ceph/9.9.1?topic=authentication-creating-seed-multi-factor")</f>
        <v/>
      </c>
    </row>
    <row r="1131" ht="18" customHeight="1">
      <c r="A1131" s="8" t="inlineStr">
        <is>
          <t>18.8.3.2</t>
        </is>
      </c>
      <c r="B1131" s="9" t="inlineStr">
        <is>
          <t xml:space="preserve">      Creating a new multi-factor authentication TOTP token</t>
        </is>
      </c>
      <c r="C1131" s="10">
        <f>HYPERLINK("https://www.ibm.com/docs/en/storage-ceph/9.9.1?topic=authentication-creating-new-multi-factor-totp-token","https://www.ibm.com/docs/en/storage-ceph/9.9.1?topic=authentication-creating-new-multi-factor-totp-token")</f>
        <v/>
      </c>
    </row>
    <row r="1132" ht="18" customHeight="1">
      <c r="A1132" s="8" t="inlineStr">
        <is>
          <t>18.8.3.3</t>
        </is>
      </c>
      <c r="B1132" s="9" t="inlineStr">
        <is>
          <t xml:space="preserve">      Test a multi-factor authentication TOTP token</t>
        </is>
      </c>
      <c r="C1132" s="10">
        <f>HYPERLINK("https://www.ibm.com/docs/en/storage-ceph/9.9.1?topic=authentication-test-multi-factor-totp-token","https://www.ibm.com/docs/en/storage-ceph/9.9.1?topic=authentication-test-multi-factor-totp-token")</f>
        <v/>
      </c>
    </row>
    <row r="1133" ht="18" customHeight="1">
      <c r="A1133" s="8" t="inlineStr">
        <is>
          <t>18.8.3.4</t>
        </is>
      </c>
      <c r="B1133" s="9" t="inlineStr">
        <is>
          <t xml:space="preserve">      Resynchronizing a multi-factor authentication TOTP token</t>
        </is>
      </c>
      <c r="C1133" s="10">
        <f>HYPERLINK("https://www.ibm.com/docs/en/storage-ceph/9.9.1?topic=authentication-resynchronizing-multi-factor-totp-token","https://www.ibm.com/docs/en/storage-ceph/9.9.1?topic=authentication-resynchronizing-multi-factor-totp-token")</f>
        <v/>
      </c>
    </row>
    <row r="1134" ht="18" customHeight="1">
      <c r="A1134" s="8" t="inlineStr">
        <is>
          <t>18.8.3.5</t>
        </is>
      </c>
      <c r="B1134" s="9" t="inlineStr">
        <is>
          <t xml:space="preserve">      Listing multi-factor authentication TOTP tokens</t>
        </is>
      </c>
      <c r="C1134" s="10">
        <f>HYPERLINK("https://www.ibm.com/docs/en/storage-ceph/9.9.1?topic=authentication-listing-multi-factor-totp-tokens","https://www.ibm.com/docs/en/storage-ceph/9.9.1?topic=authentication-listing-multi-factor-totp-tokens")</f>
        <v/>
      </c>
    </row>
    <row r="1135" ht="18" customHeight="1">
      <c r="A1135" s="8" t="inlineStr">
        <is>
          <t>18.8.3.6</t>
        </is>
      </c>
      <c r="B1135" s="9" t="inlineStr">
        <is>
          <t xml:space="preserve">      Display a multi-factor authentication TOTP token</t>
        </is>
      </c>
      <c r="C1135" s="10">
        <f>HYPERLINK("https://www.ibm.com/docs/en/storage-ceph/9.9.1?topic=authentication-display-multi-factor-totp-token","https://www.ibm.com/docs/en/storage-ceph/9.9.1?topic=authentication-display-multi-factor-totp-token")</f>
        <v/>
      </c>
    </row>
    <row r="1136" ht="18" customHeight="1">
      <c r="A1136" s="8" t="inlineStr">
        <is>
          <t>18.8.3.7</t>
        </is>
      </c>
      <c r="B1136" s="9" t="inlineStr">
        <is>
          <t xml:space="preserve">      Deleting a multi-factor authentication TOTP token or versioned-object</t>
        </is>
      </c>
      <c r="C1136" s="10">
        <f>HYPERLINK("https://www.ibm.com/docs/en/storage-ceph/9.9.1?topic=mfa-deleting-multi-factor-authentication-totp-token-versioned-object","https://www.ibm.com/docs/en/storage-ceph/9.9.1?topic=mfa-deleting-multi-factor-authentication-totp-token-versioned-object")</f>
        <v/>
      </c>
    </row>
    <row r="1137" ht="18" customHeight="1">
      <c r="A1137" s="5" t="inlineStr">
        <is>
          <t>18.9</t>
        </is>
      </c>
      <c r="B1137" s="6" t="inlineStr">
        <is>
          <t xml:space="preserve">  Administrating Ceph Object Gateway</t>
        </is>
      </c>
      <c r="C1137" s="7">
        <f>HYPERLINK("https://www.ibm.com/docs/en/storage-ceph/9.9.1?topic=gateway-administrating-ceph-object","https://www.ibm.com/docs/en/storage-ceph/9.9.1?topic=gateway-administrating-ceph-object")</f>
        <v/>
      </c>
    </row>
    <row r="1138" ht="18" customHeight="1">
      <c r="A1138" s="8" t="inlineStr">
        <is>
          <t>18.9.1</t>
        </is>
      </c>
      <c r="B1138" s="9" t="inlineStr">
        <is>
          <t xml:space="preserve">    Creating storage policies</t>
        </is>
      </c>
      <c r="C1138" s="10">
        <f>HYPERLINK("https://www.ibm.com/docs/en/storage-ceph/9.9.1?topic=gateway-creating-storage-policies","https://www.ibm.com/docs/en/storage-ceph/9.9.1?topic=gateway-creating-storage-policies")</f>
        <v/>
      </c>
    </row>
    <row r="1139" ht="18" customHeight="1">
      <c r="A1139" s="8" t="inlineStr">
        <is>
          <t>18.9.2</t>
        </is>
      </c>
      <c r="B1139" s="9" t="inlineStr">
        <is>
          <t xml:space="preserve">    Configure bucket index resharding</t>
        </is>
      </c>
      <c r="C1139" s="10">
        <f>HYPERLINK("https://www.ibm.com/docs/en/storage-ceph/9.9.1?topic=gateway-configure-bucket-index-resharding","https://www.ibm.com/docs/en/storage-ceph/9.9.1?topic=gateway-configure-bucket-index-resharding")</f>
        <v/>
      </c>
    </row>
    <row r="1140" ht="18" customHeight="1">
      <c r="A1140" s="8" t="inlineStr">
        <is>
          <t>18.9.2.1</t>
        </is>
      </c>
      <c r="B1140" s="9" t="inlineStr">
        <is>
          <t xml:space="preserve">      Enabling non-blocking bucket resharding</t>
        </is>
      </c>
      <c r="C1140" s="10">
        <f>HYPERLINK("https://www.ibm.com/docs/en/storage-ceph/9.9.1?topic=resharding-enabling-non-blocking-bucket","https://www.ibm.com/docs/en/storage-ceph/9.9.1?topic=resharding-enabling-non-blocking-bucket")</f>
        <v/>
      </c>
    </row>
    <row r="1141" ht="18" customHeight="1">
      <c r="A1141" s="8" t="inlineStr">
        <is>
          <t>18.9.2.2</t>
        </is>
      </c>
      <c r="B1141" s="9" t="inlineStr">
        <is>
          <t xml:space="preserve">      Recovering bucket index</t>
        </is>
      </c>
      <c r="C1141" s="10">
        <f>HYPERLINK("https://www.ibm.com/docs/en/storage-ceph/9.9.1?topic=resharding-recovering-bucket-index","https://www.ibm.com/docs/en/storage-ceph/9.9.1?topic=resharding-recovering-bucket-index")</f>
        <v/>
      </c>
    </row>
    <row r="1142" ht="18" customHeight="1">
      <c r="A1142" s="8" t="inlineStr">
        <is>
          <t>18.9.2.3</t>
        </is>
      </c>
      <c r="B1142" s="9" t="inlineStr">
        <is>
          <t xml:space="preserve">      Creating indexless buckets</t>
        </is>
      </c>
      <c r="C1142" s="10">
        <f>HYPERLINK("https://www.ibm.com/docs/en/storage-ceph/9.9.1?topic=resharding-creating-indexless-buckets","https://www.ibm.com/docs/en/storage-ceph/9.9.1?topic=resharding-creating-indexless-buckets")</f>
        <v/>
      </c>
    </row>
    <row r="1143" ht="18" customHeight="1">
      <c r="A1143" s="8" t="inlineStr">
        <is>
          <t>18.9.2.4</t>
        </is>
      </c>
      <c r="B1143" s="9" t="inlineStr">
        <is>
          <t xml:space="preserve">      Limitations of bucket index resharding</t>
        </is>
      </c>
      <c r="C1143" s="10">
        <f>HYPERLINK("https://www.ibm.com/docs/en/storage-ceph/9.9.1?topic=resharding-limitations-bucket-index","https://www.ibm.com/docs/en/storage-ceph/9.9.1?topic=resharding-limitations-bucket-index")</f>
        <v/>
      </c>
    </row>
    <row r="1144" ht="18" customHeight="1">
      <c r="A1144" s="8" t="inlineStr">
        <is>
          <t>18.9.2.5</t>
        </is>
      </c>
      <c r="B1144" s="9" t="inlineStr">
        <is>
          <t xml:space="preserve">      Configuring bucket index resharding in simple deployments</t>
        </is>
      </c>
      <c r="C1144" s="10">
        <f>HYPERLINK("https://www.ibm.com/docs/en/storage-ceph/9.9.1?topic=resharding-configuring-bucket-index-in-simple-deployments","https://www.ibm.com/docs/en/storage-ceph/9.9.1?topic=resharding-configuring-bucket-index-in-simple-deployments")</f>
        <v/>
      </c>
    </row>
    <row r="1145" ht="18" customHeight="1">
      <c r="A1145" s="8" t="inlineStr">
        <is>
          <t>18.9.2.6</t>
        </is>
      </c>
      <c r="B1145" s="9" t="inlineStr">
        <is>
          <t xml:space="preserve">      Configuring bucket index resharding in multi-site deployments</t>
        </is>
      </c>
      <c r="C1145" s="10">
        <f>HYPERLINK("https://www.ibm.com/docs/en/storage-ceph/9.9.1?topic=cbir-configuring-bucket-index-resharding-in-multi-site-deployments","https://www.ibm.com/docs/en/storage-ceph/9.9.1?topic=cbir-configuring-bucket-index-resharding-in-multi-site-deployments")</f>
        <v/>
      </c>
    </row>
    <row r="1146" ht="18" customHeight="1">
      <c r="A1146" s="8" t="inlineStr">
        <is>
          <t>18.9.2.7</t>
        </is>
      </c>
      <c r="B1146" s="9" t="inlineStr">
        <is>
          <t xml:space="preserve">      Resharding bucket index dynamically</t>
        </is>
      </c>
      <c r="C1146" s="10">
        <f>HYPERLINK("https://www.ibm.com/docs/en/storage-ceph/9.9.1?topic=resharding-bucket-index-dynamically","https://www.ibm.com/docs/en/storage-ceph/9.9.1?topic=resharding-bucket-index-dynamically")</f>
        <v/>
      </c>
    </row>
    <row r="1147" ht="18" customHeight="1">
      <c r="A1147" s="8" t="inlineStr">
        <is>
          <t>18.9.2.8</t>
        </is>
      </c>
      <c r="B1147" s="9" t="inlineStr">
        <is>
          <t xml:space="preserve">      Resharding bucket index dynamically in multi-site configuration</t>
        </is>
      </c>
      <c r="C1147" s="10">
        <f>HYPERLINK("https://www.ibm.com/docs/en/storage-ceph/9.9.1?topic=cbir-resharding-bucket-index-dynamically-in-multi-site-configuration","https://www.ibm.com/docs/en/storage-ceph/9.9.1?topic=cbir-resharding-bucket-index-dynamically-in-multi-site-configuration")</f>
        <v/>
      </c>
    </row>
    <row r="1148" ht="18" customHeight="1">
      <c r="A1148" s="8" t="inlineStr">
        <is>
          <t>18.9.2.9</t>
        </is>
      </c>
      <c r="B1148" s="9" t="inlineStr">
        <is>
          <t xml:space="preserve">      Resharding bucket index manually</t>
        </is>
      </c>
      <c r="C1148" s="10">
        <f>HYPERLINK("https://www.ibm.com/docs/en/storage-ceph/9.9.1?topic=resharding-bucket-index-manually","https://www.ibm.com/docs/en/storage-ceph/9.9.1?topic=resharding-bucket-index-manually")</f>
        <v/>
      </c>
    </row>
    <row r="1149" ht="18" customHeight="1">
      <c r="A1149" s="8" t="inlineStr">
        <is>
          <t>18.9.2.10</t>
        </is>
      </c>
      <c r="B1149" s="9" t="inlineStr">
        <is>
          <t xml:space="preserve">      Cleaning stale instances of bucket entries after resharding</t>
        </is>
      </c>
      <c r="C1149" s="10">
        <f>HYPERLINK("https://www.ibm.com/docs/en/storage-ceph/9.9.1?topic=resharding-cleaning-stale-instances-bucket-entries-after","https://www.ibm.com/docs/en/storage-ceph/9.9.1?topic=resharding-cleaning-stale-instances-bucket-entries-after")</f>
        <v/>
      </c>
    </row>
    <row r="1150" ht="18" customHeight="1">
      <c r="A1150" s="8" t="inlineStr">
        <is>
          <t>18.9.2.11</t>
        </is>
      </c>
      <c r="B1150" s="9" t="inlineStr">
        <is>
          <t xml:space="preserve">      Fixing lifecycle policies after resharding</t>
        </is>
      </c>
      <c r="C1150" s="10">
        <f>HYPERLINK("https://www.ibm.com/docs/en/storage-ceph/9.9.1?topic=resharding-fixing-lifecycle-policies-after","https://www.ibm.com/docs/en/storage-ceph/9.9.1?topic=resharding-fixing-lifecycle-policies-after")</f>
        <v/>
      </c>
    </row>
    <row r="1151" ht="18" customHeight="1">
      <c r="A1151" s="8" t="inlineStr">
        <is>
          <t>18.9.3</t>
        </is>
      </c>
      <c r="B1151" s="9" t="inlineStr">
        <is>
          <t xml:space="preserve">    Creating indexless buckets</t>
        </is>
      </c>
      <c r="C1151" s="10">
        <f>HYPERLINK("https://www.ibm.com/docs/en/storage-ceph/9.9.1?topic=gateway-creating-indexless-buckets","https://www.ibm.com/docs/en/storage-ceph/9.9.1?topic=gateway-creating-indexless-buckets")</f>
        <v/>
      </c>
    </row>
    <row r="1152" ht="18" customHeight="1">
      <c r="A1152" s="8" t="inlineStr">
        <is>
          <t>18.9.4</t>
        </is>
      </c>
      <c r="B1152" s="9" t="inlineStr">
        <is>
          <t xml:space="preserve">    Enabling compression</t>
        </is>
      </c>
      <c r="C1152" s="10">
        <f>HYPERLINK("https://www.ibm.com/docs/en/storage-ceph/9.9.1?topic=gateway-enabling-compression","https://www.ibm.com/docs/en/storage-ceph/9.9.1?topic=gateway-enabling-compression")</f>
        <v/>
      </c>
    </row>
    <row r="1153" ht="18" customHeight="1">
      <c r="A1153" s="8" t="inlineStr">
        <is>
          <t>18.9.5</t>
        </is>
      </c>
      <c r="B1153" s="9" t="inlineStr">
        <is>
          <t xml:space="preserve">    Quota management</t>
        </is>
      </c>
      <c r="C1153" s="10">
        <f>HYPERLINK("https://www.ibm.com/docs/en/storage-ceph/9.9.1?topic=gateway-quota-management","https://www.ibm.com/docs/en/storage-ceph/9.9.1?topic=gateway-quota-management")</f>
        <v/>
      </c>
    </row>
    <row r="1154" ht="18" customHeight="1">
      <c r="A1154" s="8" t="inlineStr">
        <is>
          <t>18.9.5.1</t>
        </is>
      </c>
      <c r="B1154" s="9" t="inlineStr">
        <is>
          <t xml:space="preserve">      Set user quotas</t>
        </is>
      </c>
      <c r="C1154" s="10">
        <f>HYPERLINK("https://www.ibm.com/docs/en/storage-ceph/9.9.1?topic=management-set-user-quotas","https://www.ibm.com/docs/en/storage-ceph/9.9.1?topic=management-set-user-quotas")</f>
        <v/>
      </c>
    </row>
    <row r="1155" ht="18" customHeight="1">
      <c r="A1155" s="8" t="inlineStr">
        <is>
          <t>18.9.5.2</t>
        </is>
      </c>
      <c r="B1155" s="9" t="inlineStr">
        <is>
          <t xml:space="preserve">      Enable and disable user quotas</t>
        </is>
      </c>
      <c r="C1155" s="10">
        <f>HYPERLINK("https://www.ibm.com/docs/en/storage-ceph/9.9.1?topic=management-enable-disable-user-quotas","https://www.ibm.com/docs/en/storage-ceph/9.9.1?topic=management-enable-disable-user-quotas")</f>
        <v/>
      </c>
    </row>
    <row r="1156" ht="18" customHeight="1">
      <c r="A1156" s="8" t="inlineStr">
        <is>
          <t>18.9.5.3</t>
        </is>
      </c>
      <c r="B1156" s="9" t="inlineStr">
        <is>
          <t xml:space="preserve">      Set bucket quotas</t>
        </is>
      </c>
      <c r="C1156" s="10">
        <f>HYPERLINK("https://www.ibm.com/docs/en/storage-ceph/9.9.1?topic=management-set-bucket-quotas","https://www.ibm.com/docs/en/storage-ceph/9.9.1?topic=management-set-bucket-quotas")</f>
        <v/>
      </c>
    </row>
    <row r="1157" ht="18" customHeight="1">
      <c r="A1157" s="8" t="inlineStr">
        <is>
          <t>18.9.5.4</t>
        </is>
      </c>
      <c r="B1157" s="9" t="inlineStr">
        <is>
          <t xml:space="preserve">      Enable and disable bucket quotas</t>
        </is>
      </c>
      <c r="C1157" s="10">
        <f>HYPERLINK("https://www.ibm.com/docs/en/storage-ceph/9.9.1?topic=management-enable-disable-bucket-quotas","https://www.ibm.com/docs/en/storage-ceph/9.9.1?topic=management-enable-disable-bucket-quotas")</f>
        <v/>
      </c>
    </row>
    <row r="1158" ht="18" customHeight="1">
      <c r="A1158" s="8" t="inlineStr">
        <is>
          <t>18.9.5.5</t>
        </is>
      </c>
      <c r="B1158" s="9" t="inlineStr">
        <is>
          <t xml:space="preserve">      Get quota settings</t>
        </is>
      </c>
      <c r="C1158" s="10">
        <f>HYPERLINK("https://www.ibm.com/docs/en/storage-ceph/9.9.1?topic=management-get-quota-settings","https://www.ibm.com/docs/en/storage-ceph/9.9.1?topic=management-get-quota-settings")</f>
        <v/>
      </c>
    </row>
    <row r="1159" ht="18" customHeight="1">
      <c r="A1159" s="8" t="inlineStr">
        <is>
          <t>18.9.5.6</t>
        </is>
      </c>
      <c r="B1159" s="9" t="inlineStr">
        <is>
          <t xml:space="preserve">      Update quota stats</t>
        </is>
      </c>
      <c r="C1159" s="10">
        <f>HYPERLINK("https://www.ibm.com/docs/en/storage-ceph/9.9.1?topic=management-update-quota-stats","https://www.ibm.com/docs/en/storage-ceph/9.9.1?topic=management-update-quota-stats")</f>
        <v/>
      </c>
    </row>
    <row r="1160" ht="18" customHeight="1">
      <c r="A1160" s="8" t="inlineStr">
        <is>
          <t>18.9.5.7</t>
        </is>
      </c>
      <c r="B1160" s="9" t="inlineStr">
        <is>
          <t xml:space="preserve">      Get user quota usage stats</t>
        </is>
      </c>
      <c r="C1160" s="10">
        <f>HYPERLINK("https://www.ibm.com/docs/en/storage-ceph/9.9.1?topic=management-get-user-quota-usage-stats","https://www.ibm.com/docs/en/storage-ceph/9.9.1?topic=management-get-user-quota-usage-stats")</f>
        <v/>
      </c>
    </row>
    <row r="1161" ht="18" customHeight="1">
      <c r="A1161" s="8" t="inlineStr">
        <is>
          <t>18.9.5.8</t>
        </is>
      </c>
      <c r="B1161" s="9" t="inlineStr">
        <is>
          <t xml:space="preserve">      Quota cache</t>
        </is>
      </c>
      <c r="C1161" s="10">
        <f>HYPERLINK("https://www.ibm.com/docs/en/storage-ceph/9.9.1?topic=management-quota-cache","https://www.ibm.com/docs/en/storage-ceph/9.9.1?topic=management-quota-cache")</f>
        <v/>
      </c>
    </row>
    <row r="1162" ht="18" customHeight="1">
      <c r="A1162" s="8" t="inlineStr">
        <is>
          <t>18.9.5.9</t>
        </is>
      </c>
      <c r="B1162" s="9" t="inlineStr">
        <is>
          <t xml:space="preserve">      Reading and writing global quotas</t>
        </is>
      </c>
      <c r="C1162" s="10">
        <f>HYPERLINK("https://www.ibm.com/docs/en/storage-ceph/9.9.1?topic=management-reading-writing-global-quotas","https://www.ibm.com/docs/en/storage-ceph/9.9.1?topic=management-reading-writing-global-quotas")</f>
        <v/>
      </c>
    </row>
    <row r="1163" ht="18" customHeight="1">
      <c r="A1163" s="8" t="inlineStr">
        <is>
          <t>18.9.6</t>
        </is>
      </c>
      <c r="B1163" s="9" t="inlineStr">
        <is>
          <t xml:space="preserve">    Usage</t>
        </is>
      </c>
      <c r="C1163" s="10">
        <f>HYPERLINK("https://www.ibm.com/docs/en/storage-ceph/9.9.1?topic=gateway-usage","https://www.ibm.com/docs/en/storage-ceph/9.9.1?topic=gateway-usage")</f>
        <v/>
      </c>
    </row>
    <row r="1164" ht="18" customHeight="1">
      <c r="A1164" s="8" t="inlineStr">
        <is>
          <t>18.9.6.1</t>
        </is>
      </c>
      <c r="B1164" s="9" t="inlineStr">
        <is>
          <t xml:space="preserve">      Show usage</t>
        </is>
      </c>
      <c r="C1164" s="10">
        <f>HYPERLINK("https://www.ibm.com/docs/en/storage-ceph/9.9.1?topic=usage-show","https://www.ibm.com/docs/en/storage-ceph/9.9.1?topic=usage-show")</f>
        <v/>
      </c>
    </row>
    <row r="1165" ht="18" customHeight="1">
      <c r="A1165" s="8" t="inlineStr">
        <is>
          <t>18.9.6.2</t>
        </is>
      </c>
      <c r="B1165" s="9" t="inlineStr">
        <is>
          <t xml:space="preserve">      Trim usage</t>
        </is>
      </c>
      <c r="C1165" s="10">
        <f>HYPERLINK("https://www.ibm.com/docs/en/storage-ceph/9.9.1?topic=usage-trim","https://www.ibm.com/docs/en/storage-ceph/9.9.1?topic=usage-trim")</f>
        <v/>
      </c>
    </row>
    <row r="1166" ht="18" customHeight="1">
      <c r="A1166" s="8" t="inlineStr">
        <is>
          <t>18.9.7</t>
        </is>
      </c>
      <c r="B1166" s="9" t="inlineStr">
        <is>
          <t xml:space="preserve">    Deduplication statistics</t>
        </is>
      </c>
      <c r="C1166" s="10">
        <f>HYPERLINK("https://www.ibm.com/docs/en/storage-ceph/9.9.1?topic=gateway-deduplication-statistics","https://www.ibm.com/docs/en/storage-ceph/9.9.1?topic=gateway-deduplication-statistics")</f>
        <v/>
      </c>
    </row>
    <row r="1167" ht="18" customHeight="1">
      <c r="A1167" s="8" t="inlineStr">
        <is>
          <t>18.9.7.1</t>
        </is>
      </c>
      <c r="B1167" s="9" t="inlineStr">
        <is>
          <t xml:space="preserve">      Running a deduplication estimate</t>
        </is>
      </c>
      <c r="C1167" s="10">
        <f>HYPERLINK("https://www.ibm.com/docs/en/storage-ceph/9.9.1?topic=statistics-running-deduplication-estimate","https://www.ibm.com/docs/en/storage-ceph/9.9.1?topic=statistics-running-deduplication-estimate")</f>
        <v/>
      </c>
    </row>
    <row r="1168" ht="18" customHeight="1">
      <c r="A1168" s="8" t="inlineStr">
        <is>
          <t>18.9.8</t>
        </is>
      </c>
      <c r="B1168" s="9" t="inlineStr">
        <is>
          <t xml:space="preserve">    Optimize the Ceph Object Gateway's data object storage</t>
        </is>
      </c>
      <c r="C1168" s="10">
        <f>HYPERLINK("https://www.ibm.com/docs/en/storage-ceph/9.9.1?topic=gateway-optimize-ceph-object-gateways-data-object-storage","https://www.ibm.com/docs/en/storage-ceph/9.9.1?topic=gateway-optimize-ceph-object-gateways-data-object-storage")</f>
        <v/>
      </c>
    </row>
    <row r="1169" ht="18" customHeight="1">
      <c r="A1169" s="8" t="inlineStr">
        <is>
          <t>18.9.8.1</t>
        </is>
      </c>
      <c r="B1169" s="9" t="inlineStr">
        <is>
          <t xml:space="preserve">      Parallel thread processing for bucket life cycles</t>
        </is>
      </c>
      <c r="C1169" s="10">
        <f>HYPERLINK("https://www.ibm.com/docs/en/storage-ceph/9.9.1?topic=storage-parallel-thread-processing-bucket-life-cycles","https://www.ibm.com/docs/en/storage-ceph/9.9.1?topic=storage-parallel-thread-processing-bucket-life-cycles")</f>
        <v/>
      </c>
    </row>
    <row r="1170" ht="18" customHeight="1">
      <c r="A1170" s="8" t="inlineStr">
        <is>
          <t>18.9.8.2</t>
        </is>
      </c>
      <c r="B1170" s="9" t="inlineStr">
        <is>
          <t xml:space="preserve">      Optimizing the bucket lifecycle</t>
        </is>
      </c>
      <c r="C1170" s="10">
        <f>HYPERLINK("https://www.ibm.com/docs/en/storage-ceph/9.9.1?topic=storage-optimizing-bucket-lifecycle","https://www.ibm.com/docs/en/storage-ceph/9.9.1?topic=storage-optimizing-bucket-lifecycle")</f>
        <v/>
      </c>
    </row>
    <row r="1171" ht="18" customHeight="1">
      <c r="A1171" s="8" t="inlineStr">
        <is>
          <t>18.9.9</t>
        </is>
      </c>
      <c r="B1171" s="9" t="inlineStr">
        <is>
          <t xml:space="preserve">    Policy based data archival and retrieval to S3 compatible platforms</t>
        </is>
      </c>
      <c r="C1171" s="10">
        <f>HYPERLINK("https://www.ibm.com/docs/en/storage-ceph/9.9.1?topic=acog-policy-based-data-archival-retrieval-s3-compatible-platforms","https://www.ibm.com/docs/en/storage-ceph/9.9.1?topic=acog-policy-based-data-archival-retrieval-s3-compatible-platforms")</f>
        <v/>
      </c>
    </row>
    <row r="1172" ht="18" customHeight="1">
      <c r="A1172" s="8" t="inlineStr">
        <is>
          <t>18.9.9.1</t>
        </is>
      </c>
      <c r="B1172" s="9" t="inlineStr">
        <is>
          <t xml:space="preserve">      Transitioning data to Amazon S3 cloud service</t>
        </is>
      </c>
      <c r="C1172" s="10">
        <f>HYPERLINK("https://www.ibm.com/docs/en/storage-ceph/9.9.1?topic=platforms-transitioning-data-amazon-s3-cloud-service","https://www.ibm.com/docs/en/storage-ceph/9.9.1?topic=platforms-transitioning-data-amazon-s3-cloud-service")</f>
        <v/>
      </c>
    </row>
    <row r="1173" ht="18" customHeight="1">
      <c r="A1173" s="8" t="inlineStr">
        <is>
          <t>18.9.9.2</t>
        </is>
      </c>
      <c r="B1173" s="9" t="inlineStr">
        <is>
          <t xml:space="preserve">      Transitioning data to IBM Cloud Object Store (COS) service</t>
        </is>
      </c>
      <c r="C1173" s="10">
        <f>HYPERLINK("https://www.ibm.com/docs/en/storage-ceph/9.9.1?topic=platforms-transitioning-data-cloud-object-store-cos-service","https://www.ibm.com/docs/en/storage-ceph/9.9.1?topic=platforms-transitioning-data-cloud-object-store-cos-service")</f>
        <v/>
      </c>
    </row>
    <row r="1174" ht="18" customHeight="1">
      <c r="A1174" s="8" t="inlineStr">
        <is>
          <t>18.9.9.3</t>
        </is>
      </c>
      <c r="B1174" s="9" t="inlineStr">
        <is>
          <t xml:space="preserve">      Transitioning data to Azure cloud service</t>
        </is>
      </c>
      <c r="C1174" s="10">
        <f>HYPERLINK("https://www.ibm.com/docs/en/storage-ceph/9.9.1?topic=platforms-transitioning-data-azure-cloud-service","https://www.ibm.com/docs/en/storage-ceph/9.9.1?topic=platforms-transitioning-data-azure-cloud-service")</f>
        <v/>
      </c>
    </row>
    <row r="1175" ht="18" customHeight="1">
      <c r="A1175" s="8" t="inlineStr">
        <is>
          <t>18.9.9.4</t>
        </is>
      </c>
      <c r="B1175" s="9" t="inlineStr">
        <is>
          <t xml:space="preserve">      Restoring objects from S3 cloud-tier storage</t>
        </is>
      </c>
      <c r="C1175" s="10">
        <f>HYPERLINK("https://www.ibm.com/docs/en/storage-ceph/9.9.1?topic=platforms-restoring-objects-from-s3-cloud-tier-storage","https://www.ibm.com/docs/en/storage-ceph/9.9.1?topic=platforms-restoring-objects-from-s3-cloud-tier-storage")</f>
        <v/>
      </c>
    </row>
    <row r="1176" ht="18" customHeight="1">
      <c r="A1176" s="8" t="inlineStr">
        <is>
          <t>18.9.9.5</t>
        </is>
      </c>
      <c r="B1176" s="9" t="inlineStr">
        <is>
          <t xml:space="preserve">      Using the radosgw-admin cli for cloud restore operations</t>
        </is>
      </c>
      <c r="C1176" s="10">
        <f>HYPERLINK("https://www.ibm.com/docs/en/storage-ceph/9.9.1?topic=platforms-using-radosgw-admin-cli-cloud-restore-operations","https://www.ibm.com/docs/en/storage-ceph/9.9.1?topic=platforms-using-radosgw-admin-cli-cloud-restore-operations")</f>
        <v/>
      </c>
    </row>
    <row r="1177" ht="18" customHeight="1">
      <c r="A1177" s="5" t="inlineStr">
        <is>
          <t>18.10</t>
        </is>
      </c>
      <c r="B1177" s="6" t="inlineStr">
        <is>
          <t xml:space="preserve">  Viewing Ceph Object Gateway per-user and per-bucket usage statistics (Technology Preview)</t>
        </is>
      </c>
      <c r="C1177" s="7">
        <f>HYPERLINK("https://www.ibm.com/docs/en/storage-ceph/9.9.1?topic=cog-viewing-ceph-object-gateway-per-user-per-bucket-usage-statistics-technology-preview","https://www.ibm.com/docs/en/storage-ceph/9.9.1?topic=cog-viewing-ceph-object-gateway-per-user-per-bucket-usage-statistics-technology-preview")</f>
        <v/>
      </c>
    </row>
    <row r="1178" ht="18" customHeight="1">
      <c r="A1178" s="5" t="inlineStr">
        <is>
          <t>18.11</t>
        </is>
      </c>
      <c r="B1178" s="6" t="inlineStr">
        <is>
          <t xml:space="preserve">  Testing and validation</t>
        </is>
      </c>
      <c r="C1178" s="7">
        <f>HYPERLINK("https://www.ibm.com/docs/en/storage-ceph/9.9.1?topic=gateway-testing-validation","https://www.ibm.com/docs/en/storage-ceph/9.9.1?topic=gateway-testing-validation")</f>
        <v/>
      </c>
    </row>
    <row r="1179" ht="18" customHeight="1">
      <c r="A1179" s="8" t="inlineStr">
        <is>
          <t>18.11.1</t>
        </is>
      </c>
      <c r="B1179" s="9" t="inlineStr">
        <is>
          <t xml:space="preserve">    Create an S3 user</t>
        </is>
      </c>
      <c r="C1179" s="10">
        <f>HYPERLINK("https://www.ibm.com/docs/en/storage-ceph/9.9.1?topic=validation-create-s3-user","https://www.ibm.com/docs/en/storage-ceph/9.9.1?topic=validation-create-s3-user")</f>
        <v/>
      </c>
    </row>
    <row r="1180" ht="18" customHeight="1">
      <c r="A1180" s="8" t="inlineStr">
        <is>
          <t>18.11.2</t>
        </is>
      </c>
      <c r="B1180" s="9" t="inlineStr">
        <is>
          <t xml:space="preserve">    Create a Swift user</t>
        </is>
      </c>
      <c r="C1180" s="10">
        <f>HYPERLINK("https://www.ibm.com/docs/en/storage-ceph/9.9.1?topic=validation-create-swift-user","https://www.ibm.com/docs/en/storage-ceph/9.9.1?topic=validation-create-swift-user")</f>
        <v/>
      </c>
    </row>
    <row r="1181" ht="18" customHeight="1">
      <c r="A1181" s="8" t="inlineStr">
        <is>
          <t>18.11.3</t>
        </is>
      </c>
      <c r="B1181" s="9" t="inlineStr">
        <is>
          <t xml:space="preserve">    Test S3 access</t>
        </is>
      </c>
      <c r="C1181" s="10">
        <f>HYPERLINK("https://www.ibm.com/docs/en/storage-ceph/9.9.1?topic=validation-test-s3-access","https://www.ibm.com/docs/en/storage-ceph/9.9.1?topic=validation-test-s3-access")</f>
        <v/>
      </c>
    </row>
    <row r="1182" ht="18" customHeight="1">
      <c r="A1182" s="8" t="inlineStr">
        <is>
          <t>18.11.4</t>
        </is>
      </c>
      <c r="B1182" s="9" t="inlineStr">
        <is>
          <t xml:space="preserve">    Test Swift access</t>
        </is>
      </c>
      <c r="C1182" s="10">
        <f>HYPERLINK("https://www.ibm.com/docs/en/storage-ceph/9.9.1?topic=validation-test-swift-access","https://www.ibm.com/docs/en/storage-ceph/9.9.1?topic=validation-test-swift-access")</f>
        <v/>
      </c>
    </row>
    <row r="1183" ht="18" customHeight="1">
      <c r="A1183" s="5" t="inlineStr">
        <is>
          <t>18.12</t>
        </is>
      </c>
      <c r="B1183" s="6" t="inlineStr">
        <is>
          <t xml:space="preserve">  Configuration reference</t>
        </is>
      </c>
      <c r="C1183" s="7">
        <f>HYPERLINK("https://www.ibm.com/docs/en/storage-ceph/9.9.1?topic=gateway-configuration-reference","https://www.ibm.com/docs/en/storage-ceph/9.9.1?topic=gateway-configuration-reference")</f>
        <v/>
      </c>
    </row>
    <row r="1184" ht="18" customHeight="1">
      <c r="A1184" s="8" t="inlineStr">
        <is>
          <t>18.12.1</t>
        </is>
      </c>
      <c r="B1184" s="9" t="inlineStr">
        <is>
          <t xml:space="preserve">    General settings</t>
        </is>
      </c>
      <c r="C1184" s="10">
        <f>HYPERLINK("https://www.ibm.com/docs/en/storage-ceph/9.9.1?topic=reference-general-settings","https://www.ibm.com/docs/en/storage-ceph/9.9.1?topic=reference-general-settings")</f>
        <v/>
      </c>
    </row>
    <row r="1185" ht="18" customHeight="1">
      <c r="A1185" s="8" t="inlineStr">
        <is>
          <t>18.12.2</t>
        </is>
      </c>
      <c r="B1185" s="9" t="inlineStr">
        <is>
          <t xml:space="preserve">    About pools</t>
        </is>
      </c>
      <c r="C1185" s="10">
        <f>HYPERLINK("https://www.ibm.com/docs/en/storage-ceph/9.9.1?topic=reference-about-pools","https://www.ibm.com/docs/en/storage-ceph/9.9.1?topic=reference-about-pools")</f>
        <v/>
      </c>
    </row>
    <row r="1186" ht="18" customHeight="1">
      <c r="A1186" s="8" t="inlineStr">
        <is>
          <t>18.12.3</t>
        </is>
      </c>
      <c r="B1186" s="9" t="inlineStr">
        <is>
          <t xml:space="preserve">    Lifecycle settings</t>
        </is>
      </c>
      <c r="C1186" s="10">
        <f>HYPERLINK("https://www.ibm.com/docs/en/storage-ceph/9.9.1?topic=reference-lifecycle-settings","https://www.ibm.com/docs/en/storage-ceph/9.9.1?topic=reference-lifecycle-settings")</f>
        <v/>
      </c>
    </row>
    <row r="1187" ht="18" customHeight="1">
      <c r="A1187" s="8" t="inlineStr">
        <is>
          <t>18.12.4</t>
        </is>
      </c>
      <c r="B1187" s="9" t="inlineStr">
        <is>
          <t xml:space="preserve">    Swift settings</t>
        </is>
      </c>
      <c r="C1187" s="10">
        <f>HYPERLINK("https://www.ibm.com/docs/en/storage-ceph/9.9.1?topic=reference-swift-settings","https://www.ibm.com/docs/en/storage-ceph/9.9.1?topic=reference-swift-settings")</f>
        <v/>
      </c>
    </row>
    <row r="1188" ht="18" customHeight="1">
      <c r="A1188" s="8" t="inlineStr">
        <is>
          <t>18.12.5</t>
        </is>
      </c>
      <c r="B1188" s="9" t="inlineStr">
        <is>
          <t xml:space="preserve">    Logging settings</t>
        </is>
      </c>
      <c r="C1188" s="10">
        <f>HYPERLINK("https://www.ibm.com/docs/en/storage-ceph/9.9.1?topic=reference-logging-settings","https://www.ibm.com/docs/en/storage-ceph/9.9.1?topic=reference-logging-settings")</f>
        <v/>
      </c>
    </row>
    <row r="1189" ht="18" customHeight="1">
      <c r="A1189" s="8" t="inlineStr">
        <is>
          <t>18.12.6</t>
        </is>
      </c>
      <c r="B1189" s="9" t="inlineStr">
        <is>
          <t xml:space="preserve">    Keystone settings</t>
        </is>
      </c>
      <c r="C1189" s="10">
        <f>HYPERLINK("https://www.ibm.com/docs/en/storage-ceph/9.9.1?topic=reference-keystone-settings","https://www.ibm.com/docs/en/storage-ceph/9.9.1?topic=reference-keystone-settings")</f>
        <v/>
      </c>
    </row>
    <row r="1190" ht="18" customHeight="1">
      <c r="A1190" s="8" t="inlineStr">
        <is>
          <t>18.12.7</t>
        </is>
      </c>
      <c r="B1190" s="9" t="inlineStr">
        <is>
          <t xml:space="preserve">    Keystone integration configuration options</t>
        </is>
      </c>
      <c r="C1190" s="10">
        <f>HYPERLINK("https://www.ibm.com/docs/en/storage-ceph/9.9.1?topic=reference-keystone-integration-configuration-options","https://www.ibm.com/docs/en/storage-ceph/9.9.1?topic=reference-keystone-integration-configuration-options")</f>
        <v/>
      </c>
    </row>
    <row r="1191" ht="18" customHeight="1">
      <c r="A1191" s="8" t="inlineStr">
        <is>
          <t>18.12.8</t>
        </is>
      </c>
      <c r="B1191" s="9" t="inlineStr">
        <is>
          <t xml:space="preserve">    LDAP settings</t>
        </is>
      </c>
      <c r="C1191" s="10">
        <f>HYPERLINK("https://www.ibm.com/docs/en/storage-ceph/9.9.1?topic=reference-ldap-settings","https://www.ibm.com/docs/en/storage-ceph/9.9.1?topic=reference-ldap-settings")</f>
        <v/>
      </c>
    </row>
    <row r="1192" ht="18" customHeight="1">
      <c r="A1192" s="5" t="inlineStr">
        <is>
          <t>18.13</t>
        </is>
      </c>
      <c r="B1192" s="6" t="inlineStr">
        <is>
          <t xml:space="preserve">  Configuring a global CORS policy for Object Gateway</t>
        </is>
      </c>
      <c r="C1192" s="7">
        <f>HYPERLINK("https://www.ibm.com/docs/en/storage-ceph/9.9.1?topic=gateway-configuring-global-cors-policy-object","https://www.ibm.com/docs/en/storage-ceph/9.9.1?topic=gateway-configuring-global-cors-policy-object")</f>
        <v/>
      </c>
    </row>
    <row r="1193" ht="18" customHeight="1">
      <c r="A1193" s="2" t="inlineStr">
        <is>
          <t>19</t>
        </is>
      </c>
      <c r="B1193" s="3" t="inlineStr">
        <is>
          <t>Ceph file protocol services</t>
        </is>
      </c>
      <c r="C1193" s="4">
        <f>HYPERLINK("https://www.ibm.com/docs/en/storage-ceph/9.9.1?topic=ceph-file-protocol-services","https://www.ibm.com/docs/en/storage-ceph/9.9.1?topic=ceph-file-protocol-services")</f>
        <v/>
      </c>
    </row>
    <row r="1194" ht="18" customHeight="1">
      <c r="A1194" s="5" t="inlineStr">
        <is>
          <t>19.1</t>
        </is>
      </c>
      <c r="B1194" s="6" t="inlineStr">
        <is>
          <t xml:space="preserve">  NFS cluster and share management</t>
        </is>
      </c>
      <c r="C1194" s="7">
        <f>HYPERLINK("https://www.ibm.com/docs/en/storage-ceph/9.9.1?topic=services-nfs-cluster-share-management","https://www.ibm.com/docs/en/storage-ceph/9.9.1?topic=services-nfs-cluster-share-management")</f>
        <v/>
      </c>
    </row>
    <row r="1195" ht="18" customHeight="1">
      <c r="A1195" s="8" t="inlineStr">
        <is>
          <t>19.1.1</t>
        </is>
      </c>
      <c r="B1195" s="9" t="inlineStr">
        <is>
          <t xml:space="preserve">    Creating an NFS cluster</t>
        </is>
      </c>
      <c r="C1195" s="10">
        <f>HYPERLINK("https://www.ibm.com/docs/en/storage-ceph/9.9.1?topic=management-creating-nfs-cluster","https://www.ibm.com/docs/en/storage-ceph/9.9.1?topic=management-creating-nfs-cluster")</f>
        <v/>
      </c>
    </row>
    <row r="1196" ht="18" customHeight="1">
      <c r="A1196" s="8" t="inlineStr">
        <is>
          <t>19.1.2</t>
        </is>
      </c>
      <c r="B1196" s="9" t="inlineStr">
        <is>
          <t xml:space="preserve">    Customize an NFS configuration</t>
        </is>
      </c>
      <c r="C1196" s="10">
        <f>HYPERLINK("https://www.ibm.com/docs/en/storage-ceph/9.9.1?topic=management-customize-nfs-configuration","https://www.ibm.com/docs/en/storage-ceph/9.9.1?topic=management-customize-nfs-configuration")</f>
        <v/>
      </c>
    </row>
    <row r="1197" ht="18" customHeight="1">
      <c r="A1197" s="8" t="inlineStr">
        <is>
          <t>19.1.2.1</t>
        </is>
      </c>
      <c r="B1197" s="9" t="inlineStr">
        <is>
          <t xml:space="preserve">      Remove customized NFS configurations</t>
        </is>
      </c>
      <c r="C1197" s="10">
        <f>HYPERLINK("https://www.ibm.com/docs/en/storage-ceph/9.9.1?topic=configuration-remove-customized-nfs-configurations","https://www.ibm.com/docs/en/storage-ceph/9.9.1?topic=configuration-remove-customized-nfs-configurations")</f>
        <v/>
      </c>
    </row>
    <row r="1198" ht="18" customHeight="1">
      <c r="A1198" s="8" t="inlineStr">
        <is>
          <t>19.1.3</t>
        </is>
      </c>
      <c r="B1198" s="9" t="inlineStr">
        <is>
          <t xml:space="preserve">    NFS RDMA support (Technology Preview)</t>
        </is>
      </c>
      <c r="C1198" s="10">
        <f>HYPERLINK("https://www.ibm.com/docs/en/storage-ceph/9.9.1?topic=management-nfs-rdma-support-technology-preview","https://www.ibm.com/docs/en/storage-ceph/9.9.1?topic=management-nfs-rdma-support-technology-preview")</f>
        <v/>
      </c>
    </row>
    <row r="1199" ht="18" customHeight="1">
      <c r="A1199" s="8" t="inlineStr">
        <is>
          <t>19.1.3.1</t>
        </is>
      </c>
      <c r="B1199" s="9" t="inlineStr">
        <is>
          <t xml:space="preserve">      Configuring RDMA support in NFS</t>
        </is>
      </c>
      <c r="C1199" s="10">
        <f>HYPERLINK("https://www.ibm.com/docs/en/storage-ceph/9.9.1?topic=preview-configuring-rdma-support-in-nfs","https://www.ibm.com/docs/en/storage-ceph/9.9.1?topic=preview-configuring-rdma-support-in-nfs")</f>
        <v/>
      </c>
    </row>
    <row r="1200" ht="18" customHeight="1">
      <c r="A1200" s="8" t="inlineStr">
        <is>
          <t>19.1.3.2</t>
        </is>
      </c>
      <c r="B1200" s="9" t="inlineStr">
        <is>
          <t xml:space="preserve">      Configuring RDMA transport for NFS shares</t>
        </is>
      </c>
      <c r="C1200" s="10">
        <f>HYPERLINK("https://www.ibm.com/docs/en/storage-ceph/9.9.1?topic=preview-configuring-rdma-transport-nfs-shares","https://www.ibm.com/docs/en/storage-ceph/9.9.1?topic=preview-configuring-rdma-transport-nfs-shares")</f>
        <v/>
      </c>
    </row>
    <row r="1201" ht="18" customHeight="1">
      <c r="A1201" s="8" t="inlineStr">
        <is>
          <t>19.1.3.3</t>
        </is>
      </c>
      <c r="B1201" s="9" t="inlineStr">
        <is>
          <t xml:space="preserve">      Verifying RDMA and connectivity</t>
        </is>
      </c>
      <c r="C1201" s="10">
        <f>HYPERLINK("https://www.ibm.com/docs/en/storage-ceph/9.9.1?topic=preview-verifying-rdma-connectivity","https://www.ibm.com/docs/en/storage-ceph/9.9.1?topic=preview-verifying-rdma-connectivity")</f>
        <v/>
      </c>
    </row>
    <row r="1202" ht="18" customHeight="1">
      <c r="A1202" s="8" t="inlineStr">
        <is>
          <t>19.1.3.4</t>
        </is>
      </c>
      <c r="B1202" s="9" t="inlineStr">
        <is>
          <t xml:space="preserve">      Mounting an NFS share over RDMA</t>
        </is>
      </c>
      <c r="C1202" s="10">
        <f>HYPERLINK("https://www.ibm.com/docs/en/storage-ceph/9.9.1?topic=preview-mounting-nfs-share-over-rdma","https://www.ibm.com/docs/en/storage-ceph/9.9.1?topic=preview-mounting-nfs-share-over-rdma")</f>
        <v/>
      </c>
    </row>
    <row r="1203" ht="18" customHeight="1">
      <c r="A1203" s="8" t="inlineStr">
        <is>
          <t>19.1.4</t>
        </is>
      </c>
      <c r="B1203" s="9" t="inlineStr">
        <is>
          <t xml:space="preserve">    Sharing Ceph File System namespaces over the NFS protocol</t>
        </is>
      </c>
      <c r="C1203" s="10">
        <f>HYPERLINK("https://www.ibm.com/docs/en/storage-ceph/9.9.1?topic=ncsm-sharing-ceph-file-system-namespaces-over-nfs-protocol","https://www.ibm.com/docs/en/storage-ceph/9.9.1?topic=ncsm-sharing-ceph-file-system-namespaces-over-nfs-protocol")</f>
        <v/>
      </c>
    </row>
    <row r="1204" ht="18" customHeight="1">
      <c r="A1204" s="8" t="inlineStr">
        <is>
          <t>19.1.5</t>
        </is>
      </c>
      <c r="B1204" s="9" t="inlineStr">
        <is>
          <t xml:space="preserve">    Configuring NFSv4 delegations for Ceph NFS shares</t>
        </is>
      </c>
      <c r="C1204" s="10">
        <f>HYPERLINK("https://www.ibm.com/docs/en/storage-ceph/9.9.1?topic=management-configuring-nfsv4-delegations-ceph-nfs-shares","https://www.ibm.com/docs/en/storage-ceph/9.9.1?topic=management-configuring-nfsv4-delegations-ceph-nfs-shares")</f>
        <v/>
      </c>
    </row>
    <row r="1205" ht="18" customHeight="1">
      <c r="A1205" s="8" t="inlineStr">
        <is>
          <t>19.1.5.1</t>
        </is>
      </c>
      <c r="B1205" s="9" t="inlineStr">
        <is>
          <t xml:space="preserve">      NFSv4 delegation considerations and expected behavior</t>
        </is>
      </c>
      <c r="C1205" s="10">
        <f>HYPERLINK("https://www.ibm.com/docs/en/storage-ceph/9.9.1?topic=shares-nfsv4-delegation-considerations-expected-behavior","https://www.ibm.com/docs/en/storage-ceph/9.9.1?topic=shares-nfsv4-delegation-considerations-expected-behavior")</f>
        <v/>
      </c>
    </row>
    <row r="1206" ht="18" customHeight="1">
      <c r="A1206" s="8" t="inlineStr">
        <is>
          <t>19.1.6</t>
        </is>
      </c>
      <c r="B1206" s="9" t="inlineStr">
        <is>
          <t xml:space="preserve">    Modifying NFS shares</t>
        </is>
      </c>
      <c r="C1206" s="10">
        <f>HYPERLINK("https://www.ibm.com/docs/en/storage-ceph/9.9.1?topic=management-modifying-nfs-shares","https://www.ibm.com/docs/en/storage-ceph/9.9.1?topic=management-modifying-nfs-shares")</f>
        <v/>
      </c>
    </row>
    <row r="1207" ht="18" customHeight="1">
      <c r="A1207" s="8" t="inlineStr">
        <is>
          <t>19.1.7</t>
        </is>
      </c>
      <c r="B1207" s="9" t="inlineStr">
        <is>
          <t xml:space="preserve">    Creating custom NFS shares</t>
        </is>
      </c>
      <c r="C1207" s="10">
        <f>HYPERLINK("https://www.ibm.com/docs/en/storage-ceph/9.9.1?topic=management-creating-custom-nfs-shares","https://www.ibm.com/docs/en/storage-ceph/9.9.1?topic=management-creating-custom-nfs-shares")</f>
        <v/>
      </c>
    </row>
    <row r="1208" ht="18" customHeight="1">
      <c r="A1208" s="8" t="inlineStr">
        <is>
          <t>19.1.8</t>
        </is>
      </c>
      <c r="B1208" s="9" t="inlineStr">
        <is>
          <t xml:space="preserve">    Deleting NFS shares</t>
        </is>
      </c>
      <c r="C1208" s="10">
        <f>HYPERLINK("https://www.ibm.com/docs/en/storage-ceph/9.9.1?topic=management-deleting-nfs-shares","https://www.ibm.com/docs/en/storage-ceph/9.9.1?topic=management-deleting-nfs-shares")</f>
        <v/>
      </c>
    </row>
    <row r="1209" ht="18" customHeight="1">
      <c r="A1209" s="8" t="inlineStr">
        <is>
          <t>19.1.9</t>
        </is>
      </c>
      <c r="B1209" s="9" t="inlineStr">
        <is>
          <t xml:space="preserve">    Deleting an NFS cluster</t>
        </is>
      </c>
      <c r="C1209" s="10">
        <f>HYPERLINK("https://www.ibm.com/docs/en/storage-ceph/9.9.1?topic=management-deleting-nfs-cluster","https://www.ibm.com/docs/en/storage-ceph/9.9.1?topic=management-deleting-nfs-cluster")</f>
        <v/>
      </c>
    </row>
    <row r="1210" ht="18" customHeight="1">
      <c r="A1210" s="8" t="inlineStr">
        <is>
          <t>19.1.10</t>
        </is>
      </c>
      <c r="B1210" s="9" t="inlineStr">
        <is>
          <t xml:space="preserve">    Windows 11 desktop client side mount options for NFSv3 fileshare</t>
        </is>
      </c>
      <c r="C1210" s="10">
        <f>HYPERLINK("https://www.ibm.com/docs/en/storage-ceph/9.9.1?topic=ncsm-windows-11-desktop-client-side-mount-options-nfsv3-fileshare","https://www.ibm.com/docs/en/storage-ceph/9.9.1?topic=ncsm-windows-11-desktop-client-side-mount-options-nfsv3-fileshare")</f>
        <v/>
      </c>
    </row>
    <row r="1211" ht="18" customHeight="1">
      <c r="A1211" s="8" t="inlineStr">
        <is>
          <t>19.1.11</t>
        </is>
      </c>
      <c r="B1211" s="9" t="inlineStr">
        <is>
          <t xml:space="preserve">    Rate-limiting in NFS</t>
        </is>
      </c>
      <c r="C1211" s="10">
        <f>HYPERLINK("https://www.ibm.com/docs/en/storage-ceph/9.9.1?topic=management-rate-limiting-in-nfs","https://www.ibm.com/docs/en/storage-ceph/9.9.1?topic=management-rate-limiting-in-nfs")</f>
        <v/>
      </c>
    </row>
    <row r="1212" ht="18" customHeight="1">
      <c r="A1212" s="8" t="inlineStr">
        <is>
          <t>19.1.11.1</t>
        </is>
      </c>
      <c r="B1212" s="9" t="inlineStr">
        <is>
          <t xml:space="preserve">      Managing rate-limiting for NFS clusters</t>
        </is>
      </c>
      <c r="C1212" s="10">
        <f>HYPERLINK("https://www.ibm.com/docs/en/storage-ceph/9.9.1?topic=nfs-managing-rate-limiting-clusters","https://www.ibm.com/docs/en/storage-ceph/9.9.1?topic=nfs-managing-rate-limiting-clusters")</f>
        <v/>
      </c>
    </row>
    <row r="1213" ht="18" customHeight="1">
      <c r="A1213" s="8" t="inlineStr">
        <is>
          <t>19.1.11.1.1</t>
        </is>
      </c>
      <c r="B1213" s="9" t="inlineStr">
        <is>
          <t xml:space="preserve">        Enabling bandwidth rate-limiting for NFS cluster</t>
        </is>
      </c>
      <c r="C1213" s="10">
        <f>HYPERLINK("https://www.ibm.com/docs/en/storage-ceph/9.9.1?topic=clusters-enabling-bandwidth-rate-limiting-nfs-cluster","https://www.ibm.com/docs/en/storage-ceph/9.9.1?topic=clusters-enabling-bandwidth-rate-limiting-nfs-cluster")</f>
        <v/>
      </c>
    </row>
    <row r="1214" ht="18" customHeight="1">
      <c r="A1214" s="8" t="inlineStr">
        <is>
          <t>19.1.11.1.2</t>
        </is>
      </c>
      <c r="B1214" s="9" t="inlineStr">
        <is>
          <t xml:space="preserve">        Disabling bandwidth rate-limiting for NFS cluster</t>
        </is>
      </c>
      <c r="C1214" s="10">
        <f>HYPERLINK("https://www.ibm.com/docs/en/storage-ceph/9.9.1?topic=clusters-disabling-bandwidth-rate-limiting-nfs-cluster","https://www.ibm.com/docs/en/storage-ceph/9.9.1?topic=clusters-disabling-bandwidth-rate-limiting-nfs-cluster")</f>
        <v/>
      </c>
    </row>
    <row r="1215" ht="18" customHeight="1">
      <c r="A1215" s="8" t="inlineStr">
        <is>
          <t>19.1.11.1.3</t>
        </is>
      </c>
      <c r="B1215" s="9" t="inlineStr">
        <is>
          <t xml:space="preserve">        Enabling input/output operations rate-limiting for NFS cluster</t>
        </is>
      </c>
      <c r="C1215" s="10">
        <f>HYPERLINK("https://www.ibm.com/docs/en/storage-ceph/9.9.1?topic=clusters-enabling-inputoutput-operations-rate-limiting-nfs-cluster","https://www.ibm.com/docs/en/storage-ceph/9.9.1?topic=clusters-enabling-inputoutput-operations-rate-limiting-nfs-cluster")</f>
        <v/>
      </c>
    </row>
    <row r="1216" ht="18" customHeight="1">
      <c r="A1216" s="8" t="inlineStr">
        <is>
          <t>19.1.11.1.4</t>
        </is>
      </c>
      <c r="B1216" s="9" t="inlineStr">
        <is>
          <t xml:space="preserve">        Disabling input/output operations rate-limiting for NFS cluster</t>
        </is>
      </c>
      <c r="C1216" s="10">
        <f>HYPERLINK("https://www.ibm.com/docs/en/storage-ceph/9.9.1?topic=clusters-disabling-inputoutput-operations-rate-limiting-nfs-cluster","https://www.ibm.com/docs/en/storage-ceph/9.9.1?topic=clusters-disabling-inputoutput-operations-rate-limiting-nfs-cluster")</f>
        <v/>
      </c>
    </row>
    <row r="1217" ht="18" customHeight="1">
      <c r="A1217" s="8" t="inlineStr">
        <is>
          <t>19.1.11.2</t>
        </is>
      </c>
      <c r="B1217" s="9" t="inlineStr">
        <is>
          <t xml:space="preserve">      Listing QoS configuration for NFS cluster</t>
        </is>
      </c>
      <c r="C1217" s="10">
        <f>HYPERLINK("https://www.ibm.com/docs/en/storage-ceph/9.9.1?topic=nfs-listing-qos-configuration-cluster","https://www.ibm.com/docs/en/storage-ceph/9.9.1?topic=nfs-listing-qos-configuration-cluster")</f>
        <v/>
      </c>
    </row>
    <row r="1218" ht="18" customHeight="1">
      <c r="A1218" s="8" t="inlineStr">
        <is>
          <t>19.1.11.3</t>
        </is>
      </c>
      <c r="B1218" s="9" t="inlineStr">
        <is>
          <t xml:space="preserve">      Managing rate-limiting for NFS shares</t>
        </is>
      </c>
      <c r="C1218" s="10">
        <f>HYPERLINK("https://www.ibm.com/docs/en/storage-ceph/9.9.1?topic=nfs-managing-rate-limiting-shares","https://www.ibm.com/docs/en/storage-ceph/9.9.1?topic=nfs-managing-rate-limiting-shares")</f>
        <v/>
      </c>
    </row>
    <row r="1219" ht="18" customHeight="1">
      <c r="A1219" s="8" t="inlineStr">
        <is>
          <t>19.1.11.3.1</t>
        </is>
      </c>
      <c r="B1219" s="9" t="inlineStr">
        <is>
          <t xml:space="preserve">        Enabling bandwidth rate-limiting for NFS shares</t>
        </is>
      </c>
      <c r="C1219" s="10">
        <f>HYPERLINK("https://www.ibm.com/docs/en/storage-ceph/9.9.1?topic=shares-enabling-bandwidth-rate-limiting-nfs","https://www.ibm.com/docs/en/storage-ceph/9.9.1?topic=shares-enabling-bandwidth-rate-limiting-nfs")</f>
        <v/>
      </c>
    </row>
    <row r="1220" ht="18" customHeight="1">
      <c r="A1220" s="8" t="inlineStr">
        <is>
          <t>19.1.11.3.2</t>
        </is>
      </c>
      <c r="B1220" s="9" t="inlineStr">
        <is>
          <t xml:space="preserve">        Disabling bandwidth rate-limiting for NFS share</t>
        </is>
      </c>
      <c r="C1220" s="10">
        <f>HYPERLINK("https://www.ibm.com/docs/en/storage-ceph/9.9.1?topic=shares-disabling-bandwidth-rate-limiting-nfs-share","https://www.ibm.com/docs/en/storage-ceph/9.9.1?topic=shares-disabling-bandwidth-rate-limiting-nfs-share")</f>
        <v/>
      </c>
    </row>
    <row r="1221" ht="18" customHeight="1">
      <c r="A1221" s="8" t="inlineStr">
        <is>
          <t>19.1.11.3.3</t>
        </is>
      </c>
      <c r="B1221" s="9" t="inlineStr">
        <is>
          <t xml:space="preserve">        Enabling input/output operations rate-limiting for NFS share</t>
        </is>
      </c>
      <c r="C1221" s="10">
        <f>HYPERLINK("https://www.ibm.com/docs/en/storage-ceph/9.9.1?topic=shares-enabling-inputoutput-operations-rate-limiting-nfs-share","https://www.ibm.com/docs/en/storage-ceph/9.9.1?topic=shares-enabling-inputoutput-operations-rate-limiting-nfs-share")</f>
        <v/>
      </c>
    </row>
    <row r="1222" ht="18" customHeight="1">
      <c r="A1222" s="8" t="inlineStr">
        <is>
          <t>19.1.11.3.4</t>
        </is>
      </c>
      <c r="B1222" s="9" t="inlineStr">
        <is>
          <t xml:space="preserve">        Disabling input/output operations rate-limiting for NFS share</t>
        </is>
      </c>
      <c r="C1222" s="10">
        <f>HYPERLINK("https://www.ibm.com/docs/en/storage-ceph/9.9.1?topic=shares-disabling-inputoutput-operations-rate-limiting-nfs-share","https://www.ibm.com/docs/en/storage-ceph/9.9.1?topic=shares-disabling-inputoutput-operations-rate-limiting-nfs-share")</f>
        <v/>
      </c>
    </row>
    <row r="1223" ht="18" customHeight="1">
      <c r="A1223" s="8" t="inlineStr">
        <is>
          <t>19.1.11.4</t>
        </is>
      </c>
      <c r="B1223" s="9" t="inlineStr">
        <is>
          <t xml:space="preserve">      Listing QoS configuration for NFS share</t>
        </is>
      </c>
      <c r="C1223" s="10">
        <f>HYPERLINK("https://www.ibm.com/docs/en/storage-ceph/9.9.1?topic=nfs-listing-qos-configuration-share","https://www.ibm.com/docs/en/storage-ceph/9.9.1?topic=nfs-listing-qos-configuration-share")</f>
        <v/>
      </c>
    </row>
    <row r="1224" ht="18" customHeight="1">
      <c r="A1224" s="8" t="inlineStr">
        <is>
          <t>19.1.12</t>
        </is>
      </c>
      <c r="B1224" s="9" t="inlineStr">
        <is>
          <t xml:space="preserve">    Kerberos encryption with Ceph NFS services</t>
        </is>
      </c>
      <c r="C1224" s="10">
        <f>HYPERLINK("https://www.ibm.com/docs/en/storage-ceph/9.9.1?topic=management-kerberos-encryption-ceph-nfs-services","https://www.ibm.com/docs/en/storage-ceph/9.9.1?topic=management-kerberos-encryption-ceph-nfs-services")</f>
        <v/>
      </c>
    </row>
    <row r="1225" ht="18" customHeight="1">
      <c r="A1225" s="8" t="inlineStr">
        <is>
          <t>19.1.12.1</t>
        </is>
      </c>
      <c r="B1225" s="9" t="inlineStr">
        <is>
          <t xml:space="preserve">      Enabling encryption by using Kerberos for Ceph NFS services</t>
        </is>
      </c>
      <c r="C1225" s="10">
        <f>HYPERLINK("https://www.ibm.com/docs/en/storage-ceph/9.9.1?topic=kecns-enabling-encryption-by-using-kerberos-ceph-nfs-services","https://www.ibm.com/docs/en/storage-ceph/9.9.1?topic=kecns-enabling-encryption-by-using-kerberos-ceph-nfs-services")</f>
        <v/>
      </c>
    </row>
    <row r="1226" ht="18" customHeight="1">
      <c r="A1226" s="8" t="inlineStr">
        <is>
          <t>19.1.12.2</t>
        </is>
      </c>
      <c r="B1226" s="9" t="inlineStr">
        <is>
          <t xml:space="preserve">      Disabling Kerberos encryption for Ceph NFS services</t>
        </is>
      </c>
      <c r="C1226" s="10">
        <f>HYPERLINK("https://www.ibm.com/docs/en/storage-ceph/9.9.1?topic=services-disabling-kerberos-encryption-ceph-nfs","https://www.ibm.com/docs/en/storage-ceph/9.9.1?topic=services-disabling-kerberos-encryption-ceph-nfs")</f>
        <v/>
      </c>
    </row>
    <row r="1227" ht="18" customHeight="1">
      <c r="A1227" s="8" t="inlineStr">
        <is>
          <t>19.1.13</t>
        </is>
      </c>
      <c r="B1227" s="9" t="inlineStr">
        <is>
          <t xml:space="preserve">    TLS security in NFS</t>
        </is>
      </c>
      <c r="C1227" s="10">
        <f>HYPERLINK("https://www.ibm.com/docs/en/storage-ceph/9.9.1?topic=management-tls-security-in-nfs","https://www.ibm.com/docs/en/storage-ceph/9.9.1?topic=management-tls-security-in-nfs")</f>
        <v/>
      </c>
    </row>
    <row r="1228" ht="18" customHeight="1">
      <c r="A1228" s="8" t="inlineStr">
        <is>
          <t>19.1.13.1</t>
        </is>
      </c>
      <c r="B1228" s="9" t="inlineStr">
        <is>
          <t xml:space="preserve">      Configuring share security options for NFS</t>
        </is>
      </c>
      <c r="C1228" s="10">
        <f>HYPERLINK("https://www.ibm.com/docs/en/storage-ceph/9.9.1?topic=nfs-configuring-share-security-options","https://www.ibm.com/docs/en/storage-ceph/9.9.1?topic=nfs-configuring-share-security-options")</f>
        <v/>
      </c>
    </row>
    <row r="1229" ht="18" customHeight="1">
      <c r="A1229" s="8" t="inlineStr">
        <is>
          <t>19.1.13.2</t>
        </is>
      </c>
      <c r="B1229" s="9" t="inlineStr">
        <is>
          <t xml:space="preserve">      Configuring TLS settings for NFS</t>
        </is>
      </c>
      <c r="C1229" s="10">
        <f>HYPERLINK("https://www.ibm.com/docs/en/storage-ceph/9.9.1?topic=nfs-configuring-tls-settings","https://www.ibm.com/docs/en/storage-ceph/9.9.1?topic=nfs-configuring-tls-settings")</f>
        <v/>
      </c>
    </row>
    <row r="1230" ht="18" customHeight="1">
      <c r="A1230" s="8" t="inlineStr">
        <is>
          <t>19.1.13.3</t>
        </is>
      </c>
      <c r="B1230" s="9" t="inlineStr">
        <is>
          <t xml:space="preserve">      Setting up TLS in NFS client using Stunnel</t>
        </is>
      </c>
      <c r="C1230" s="10">
        <f>HYPERLINK("https://www.ibm.com/docs/en/storage-ceph/9.9.1?topic=tsin-setting-up-tls-in-nfs-client-using-stunnel","https://www.ibm.com/docs/en/storage-ceph/9.9.1?topic=tsin-setting-up-tls-in-nfs-client-using-stunnel")</f>
        <v/>
      </c>
    </row>
    <row r="1231" ht="18" customHeight="1">
      <c r="A1231" s="5" t="inlineStr">
        <is>
          <t>19.2</t>
        </is>
      </c>
      <c r="B1231" s="6" t="inlineStr">
        <is>
          <t xml:space="preserve">  SMB cluster and share management</t>
        </is>
      </c>
      <c r="C1231" s="7">
        <f>HYPERLINK("https://www.ibm.com/docs/en/storage-ceph/9.9.1?topic=services-smb-cluster-share-management","https://www.ibm.com/docs/en/storage-ceph/9.9.1?topic=services-smb-cluster-share-management")</f>
        <v/>
      </c>
    </row>
    <row r="1232" ht="18" customHeight="1">
      <c r="A1232" s="8" t="inlineStr">
        <is>
          <t>19.2.1</t>
        </is>
      </c>
      <c r="B1232" s="9" t="inlineStr">
        <is>
          <t xml:space="preserve">    Quick SMB deployment workflow</t>
        </is>
      </c>
      <c r="C1232" s="10">
        <f>HYPERLINK("https://www.ibm.com/docs/en/storage-ceph/9.9.1?topic=management-quick-smb-deployment-workflow","https://www.ibm.com/docs/en/storage-ceph/9.9.1?topic=management-quick-smb-deployment-workflow")</f>
        <v/>
      </c>
    </row>
    <row r="1233" ht="18" customHeight="1">
      <c r="A1233" s="8" t="inlineStr">
        <is>
          <t>19.2.2</t>
        </is>
      </c>
      <c r="B1233" s="9" t="inlineStr">
        <is>
          <t xml:space="preserve">    Managing SMB clusters and shares</t>
        </is>
      </c>
      <c r="C1233" s="10">
        <f>HYPERLINK("https://www.ibm.com/docs/en/storage-ceph/9.9.1?topic=management-managing-smb-clusters-shares","https://www.ibm.com/docs/en/storage-ceph/9.9.1?topic=management-managing-smb-clusters-shares")</f>
        <v/>
      </c>
    </row>
    <row r="1234" ht="18" customHeight="1">
      <c r="A1234" s="8" t="inlineStr">
        <is>
          <t>19.2.2.1</t>
        </is>
      </c>
      <c r="B1234" s="9" t="inlineStr">
        <is>
          <t xml:space="preserve">      Managing SMB clusters by using imperative method</t>
        </is>
      </c>
      <c r="C1234" s="10">
        <f>HYPERLINK("https://www.ibm.com/docs/en/storage-ceph/9.9.1?topic=shares-managing-smb-clusters-by-using-imperative-method","https://www.ibm.com/docs/en/storage-ceph/9.9.1?topic=shares-managing-smb-clusters-by-using-imperative-method")</f>
        <v/>
      </c>
    </row>
    <row r="1235" ht="18" customHeight="1">
      <c r="A1235" s="8" t="inlineStr">
        <is>
          <t>19.2.2.2</t>
        </is>
      </c>
      <c r="B1235" s="9" t="inlineStr">
        <is>
          <t xml:space="preserve">      Managing SMB shares by using imperative method</t>
        </is>
      </c>
      <c r="C1235" s="10">
        <f>HYPERLINK("https://www.ibm.com/docs/en/storage-ceph/9.9.1?topic=shares-managing-smb-by-using-imperative-method","https://www.ibm.com/docs/en/storage-ceph/9.9.1?topic=shares-managing-smb-by-using-imperative-method")</f>
        <v/>
      </c>
    </row>
    <row r="1236" ht="18" customHeight="1">
      <c r="A1236" s="8" t="inlineStr">
        <is>
          <t>19.2.2.3</t>
        </is>
      </c>
      <c r="B1236" s="9" t="inlineStr">
        <is>
          <t xml:space="preserve">      Integrating active directory with SMB by using imperative method</t>
        </is>
      </c>
      <c r="C1236" s="10">
        <f>HYPERLINK("https://www.ibm.com/docs/en/storage-ceph/9.9.1?topic=mscs-integrating-active-directory-smb-by-using-imperative-method","https://www.ibm.com/docs/en/storage-ceph/9.9.1?topic=mscs-integrating-active-directory-smb-by-using-imperative-method")</f>
        <v/>
      </c>
    </row>
    <row r="1237" ht="18" customHeight="1">
      <c r="A1237" s="8" t="inlineStr">
        <is>
          <t>19.2.2.4</t>
        </is>
      </c>
      <c r="B1237" s="9" t="inlineStr">
        <is>
          <t xml:space="preserve">      Composing resource specifications for declarative method</t>
        </is>
      </c>
      <c r="C1237" s="10">
        <f>HYPERLINK("https://www.ibm.com/docs/en/storage-ceph/9.9.1?topic=shares-composing-resource-specifications-declarative-method","https://www.ibm.com/docs/en/storage-ceph/9.9.1?topic=shares-composing-resource-specifications-declarative-method")</f>
        <v/>
      </c>
    </row>
    <row r="1238" ht="18" customHeight="1">
      <c r="A1238" s="8" t="inlineStr">
        <is>
          <t>19.2.2.4.1</t>
        </is>
      </c>
      <c r="B1238" s="9" t="inlineStr">
        <is>
          <t xml:space="preserve">        SMB service resource specifications</t>
        </is>
      </c>
      <c r="C1238" s="10">
        <f>HYPERLINK("https://www.ibm.com/docs/en/storage-ceph/9.9.1?topic=method-smb-service-resource-specifications","https://www.ibm.com/docs/en/storage-ceph/9.9.1?topic=method-smb-service-resource-specifications")</f>
        <v/>
      </c>
    </row>
    <row r="1239" ht="18" customHeight="1">
      <c r="A1239" s="8" t="inlineStr">
        <is>
          <t>19.2.2.5</t>
        </is>
      </c>
      <c r="B1239" s="9" t="inlineStr">
        <is>
          <t xml:space="preserve">      Managing SMB clusters by using declarative method</t>
        </is>
      </c>
      <c r="C1239" s="10">
        <f>HYPERLINK("https://www.ibm.com/docs/en/storage-ceph/9.9.1?topic=shares-managing-smb-clusters-by-using-declarative-method","https://www.ibm.com/docs/en/storage-ceph/9.9.1?topic=shares-managing-smb-clusters-by-using-declarative-method")</f>
        <v/>
      </c>
    </row>
    <row r="1240" ht="18" customHeight="1">
      <c r="A1240" s="8" t="inlineStr">
        <is>
          <t>19.2.2.6</t>
        </is>
      </c>
      <c r="B1240" s="9" t="inlineStr">
        <is>
          <t xml:space="preserve">      Managing SMB shares by using declarative method</t>
        </is>
      </c>
      <c r="C1240" s="10">
        <f>HYPERLINK("https://www.ibm.com/docs/en/storage-ceph/9.9.1?topic=shares-managing-smb-by-using-declarative-method","https://www.ibm.com/docs/en/storage-ceph/9.9.1?topic=shares-managing-smb-by-using-declarative-method")</f>
        <v/>
      </c>
    </row>
    <row r="1241" ht="18" customHeight="1">
      <c r="A1241" s="8" t="inlineStr">
        <is>
          <t>19.2.2.7</t>
        </is>
      </c>
      <c r="B1241" s="9" t="inlineStr">
        <is>
          <t xml:space="preserve">      Integrating active directory with SMB by using declarative method</t>
        </is>
      </c>
      <c r="C1241" s="10">
        <f>HYPERLINK("https://www.ibm.com/docs/en/storage-ceph/9.9.1?topic=mscs-integrating-active-directory-smb-by-using-declarative-method","https://www.ibm.com/docs/en/storage-ceph/9.9.1?topic=mscs-integrating-active-directory-smb-by-using-declarative-method")</f>
        <v/>
      </c>
    </row>
    <row r="1242" ht="18" customHeight="1">
      <c r="A1242" s="8" t="inlineStr">
        <is>
          <t>19.2.2.8</t>
        </is>
      </c>
      <c r="B1242" s="9" t="inlineStr">
        <is>
          <t xml:space="preserve">      Declarative method configuration example</t>
        </is>
      </c>
      <c r="C1242" s="10">
        <f>HYPERLINK("https://www.ibm.com/docs/en/storage-ceph/9.9.1?topic=shares-declarative-method-configuration-example","https://www.ibm.com/docs/en/storage-ceph/9.9.1?topic=shares-declarative-method-configuration-example")</f>
        <v/>
      </c>
    </row>
    <row r="1243" ht="18" customHeight="1">
      <c r="A1243" s="8" t="inlineStr">
        <is>
          <t>19.2.3</t>
        </is>
      </c>
      <c r="B1243" s="9" t="inlineStr">
        <is>
          <t xml:space="preserve">    SMB File System share access right and control management</t>
        </is>
      </c>
      <c r="C1243" s="10">
        <f>HYPERLINK("https://www.ibm.com/docs/en/storage-ceph/9.9.1?topic=scsm-smb-file-system-share-access-right-control-management","https://www.ibm.com/docs/en/storage-ceph/9.9.1?topic=scsm-smb-file-system-share-access-right-control-management")</f>
        <v/>
      </c>
    </row>
    <row r="1244" ht="18" customHeight="1">
      <c r="A1244" s="8" t="inlineStr">
        <is>
          <t>19.2.4</t>
        </is>
      </c>
      <c r="B1244" s="9" t="inlineStr">
        <is>
          <t xml:space="preserve">    Configuring Volume Shadow Copy Service</t>
        </is>
      </c>
      <c r="C1244" s="10">
        <f>HYPERLINK("https://www.ibm.com/docs/en/storage-ceph/9.9.1?topic=management-configuring-volume-shadow-copy-service","https://www.ibm.com/docs/en/storage-ceph/9.9.1?topic=management-configuring-volume-shadow-copy-service")</f>
        <v/>
      </c>
    </row>
    <row r="1245" ht="18" customHeight="1">
      <c r="A1245" s="8" t="inlineStr">
        <is>
          <t>19.2.5</t>
        </is>
      </c>
      <c r="B1245" s="9" t="inlineStr">
        <is>
          <t xml:space="preserve">    Encryption support in SMB</t>
        </is>
      </c>
      <c r="C1245" s="10">
        <f>HYPERLINK("https://www.ibm.com/docs/en/storage-ceph/9.9.1?topic=management-encryption-support-in-smb","https://www.ibm.com/docs/en/storage-ceph/9.9.1?topic=management-encryption-support-in-smb")</f>
        <v/>
      </c>
    </row>
    <row r="1246" ht="18" customHeight="1">
      <c r="A1246" s="8" t="inlineStr">
        <is>
          <t>19.2.6</t>
        </is>
      </c>
      <c r="B1246" s="9" t="inlineStr">
        <is>
          <t xml:space="preserve">    SMB Multichannel</t>
        </is>
      </c>
      <c r="C1246" s="10">
        <f>HYPERLINK("https://www.ibm.com/docs/en/storage-ceph/9.9.1?topic=management-smb-multichannel","https://www.ibm.com/docs/en/storage-ceph/9.9.1?topic=management-smb-multichannel")</f>
        <v/>
      </c>
    </row>
    <row r="1247" ht="18" customHeight="1">
      <c r="A1247" s="8" t="inlineStr">
        <is>
          <t>19.2.7</t>
        </is>
      </c>
      <c r="B1247" s="9" t="inlineStr">
        <is>
          <t xml:space="preserve">    Directory entry name normalization and case folding</t>
        </is>
      </c>
      <c r="C1247" s="10">
        <f>HYPERLINK("https://www.ibm.com/docs/en/storage-ceph/9.9.1?topic=management-directory-entry-name-normalization-case-folding","https://www.ibm.com/docs/en/storage-ceph/9.9.1?topic=management-directory-entry-name-normalization-case-folding")</f>
        <v/>
      </c>
    </row>
    <row r="1248" ht="18" customHeight="1">
      <c r="A1248" s="8" t="inlineStr">
        <is>
          <t>19.2.7.1</t>
        </is>
      </c>
      <c r="B1248" s="9" t="inlineStr">
        <is>
          <t xml:space="preserve">      Configuring name normalization in CephFS</t>
        </is>
      </c>
      <c r="C1248" s="10">
        <f>HYPERLINK("https://www.ibm.com/docs/en/storage-ceph/9.9.1?topic=folding-configuring-name-normalization-in-cephfs","https://www.ibm.com/docs/en/storage-ceph/9.9.1?topic=folding-configuring-name-normalization-in-cephfs")</f>
        <v/>
      </c>
    </row>
    <row r="1249" ht="18" customHeight="1">
      <c r="A1249" s="8" t="inlineStr">
        <is>
          <t>19.2.7.2</t>
        </is>
      </c>
      <c r="B1249" s="9" t="inlineStr">
        <is>
          <t xml:space="preserve">      Configuring case folding in CephFS</t>
        </is>
      </c>
      <c r="C1249" s="10">
        <f>HYPERLINK("https://www.ibm.com/docs/en/storage-ceph/9.9.1?topic=folding-configuring-case-in-cephfs","https://www.ibm.com/docs/en/storage-ceph/9.9.1?topic=folding-configuring-case-in-cephfs")</f>
        <v/>
      </c>
    </row>
    <row r="1250" ht="18" customHeight="1">
      <c r="A1250" s="8" t="inlineStr">
        <is>
          <t>19.2.7.3</t>
        </is>
      </c>
      <c r="B1250" s="9" t="inlineStr">
        <is>
          <t xml:space="preserve">      Removing character mapping</t>
        </is>
      </c>
      <c r="C1250" s="10">
        <f>HYPERLINK("https://www.ibm.com/docs/en/storage-ceph/9.9.1?topic=folding-removing-character-mapping","https://www.ibm.com/docs/en/storage-ceph/9.9.1?topic=folding-removing-character-mapping")</f>
        <v/>
      </c>
    </row>
    <row r="1251" ht="18" customHeight="1">
      <c r="A1251" s="8" t="inlineStr">
        <is>
          <t>19.2.7.4</t>
        </is>
      </c>
      <c r="B1251" s="9" t="inlineStr">
        <is>
          <t xml:space="preserve">      Restricting incompatible client access to charmap-configured directories</t>
        </is>
      </c>
      <c r="C1251" s="10">
        <f>HYPERLINK("https://www.ibm.com/docs/en/storage-ceph/9.9.1?topic=folding-restricting-incompatible-client-access-charmap-configured-directories","https://www.ibm.com/docs/en/storage-ceph/9.9.1?topic=folding-restricting-incompatible-client-access-charmap-configured-directories")</f>
        <v/>
      </c>
    </row>
    <row r="1252" ht="18" customHeight="1">
      <c r="A1252" s="8" t="inlineStr">
        <is>
          <t>19.2.8</t>
        </is>
      </c>
      <c r="B1252" s="9" t="inlineStr">
        <is>
          <t xml:space="preserve">    Rate-limiting (QoS) in SMB</t>
        </is>
      </c>
      <c r="C1252" s="10">
        <f>HYPERLINK("https://www.ibm.com/docs/en/storage-ceph/9.9.1?topic=management-rate-limiting-qos-in-smb","https://www.ibm.com/docs/en/storage-ceph/9.9.1?topic=management-rate-limiting-qos-in-smb")</f>
        <v/>
      </c>
    </row>
    <row r="1253" ht="18" customHeight="1">
      <c r="A1253" s="8" t="inlineStr">
        <is>
          <t>19.2.8.1</t>
        </is>
      </c>
      <c r="B1253" s="9" t="inlineStr">
        <is>
          <t xml:space="preserve">      Update QoS limits in SMB</t>
        </is>
      </c>
      <c r="C1253" s="10">
        <f>HYPERLINK("https://www.ibm.com/docs/en/storage-ceph/9.9.1?topic=smb-update-qos-limits-in","https://www.ibm.com/docs/en/storage-ceph/9.9.1?topic=smb-update-qos-limits-in")</f>
        <v/>
      </c>
    </row>
    <row r="1254" ht="18" customHeight="1">
      <c r="A1254" s="8" t="inlineStr">
        <is>
          <t>19.2.8.2</t>
        </is>
      </c>
      <c r="B1254" s="9" t="inlineStr">
        <is>
          <t xml:space="preserve">      Disable QoS settings for SMB shares</t>
        </is>
      </c>
      <c r="C1254" s="10">
        <f>HYPERLINK("https://www.ibm.com/docs/en/storage-ceph/9.9.1?topic=smb-disable-qos-settings-shares","https://www.ibm.com/docs/en/storage-ceph/9.9.1?topic=smb-disable-qos-settings-shares")</f>
        <v/>
      </c>
    </row>
    <row r="1255" ht="18" customHeight="1">
      <c r="A1255" s="2" t="inlineStr">
        <is>
          <t>20</t>
        </is>
      </c>
      <c r="B1255" s="3" t="inlineStr">
        <is>
          <t>Ceph File Systems</t>
        </is>
      </c>
      <c r="C1255" s="4">
        <f>HYPERLINK("https://www.ibm.com/docs/en/storage-ceph/9.9.1?topic=ceph-file-systems","https://www.ibm.com/docs/en/storage-ceph/9.9.1?topic=ceph-file-systems")</f>
        <v/>
      </c>
    </row>
    <row r="1256" ht="18" customHeight="1">
      <c r="A1256" s="5" t="inlineStr">
        <is>
          <t>20.1</t>
        </is>
      </c>
      <c r="B1256" s="6" t="inlineStr">
        <is>
          <t xml:space="preserve">  Using CephFS</t>
        </is>
      </c>
      <c r="C1256" s="7">
        <f>HYPERLINK("https://www.ibm.com/docs/en/storage-ceph/9.9.1?topic=systems-using-cephfs","https://www.ibm.com/docs/en/storage-ceph/9.9.1?topic=systems-using-cephfs")</f>
        <v/>
      </c>
    </row>
    <row r="1257" ht="18" customHeight="1">
      <c r="A1257" s="5" t="inlineStr">
        <is>
          <t>20.2</t>
        </is>
      </c>
      <c r="B1257" s="6" t="inlineStr">
        <is>
          <t xml:space="preserve">  Configuring CephFS</t>
        </is>
      </c>
      <c r="C1257" s="7">
        <f>HYPERLINK("https://www.ibm.com/docs/en/storage-ceph/9.9.1?topic=systems-configuring-cephfs","https://www.ibm.com/docs/en/storage-ceph/9.9.1?topic=systems-configuring-cephfs")</f>
        <v/>
      </c>
    </row>
    <row r="1258" ht="18" customHeight="1">
      <c r="A1258" s="8" t="inlineStr">
        <is>
          <t>20.2.1</t>
        </is>
      </c>
      <c r="B1258" s="9" t="inlineStr">
        <is>
          <t xml:space="preserve">    Health messages</t>
        </is>
      </c>
      <c r="C1258" s="10">
        <f>HYPERLINK("https://www.ibm.com/docs/en/storage-ceph/9.9.1?topic=cephfs-health-messages","https://www.ibm.com/docs/en/storage-ceph/9.9.1?topic=cephfs-health-messages")</f>
        <v/>
      </c>
    </row>
    <row r="1259" ht="18" customHeight="1">
      <c r="A1259" s="8" t="inlineStr">
        <is>
          <t>20.2.2</t>
        </is>
      </c>
      <c r="B1259" s="9" t="inlineStr">
        <is>
          <t xml:space="preserve">    Configuring Metadata Server daemons</t>
        </is>
      </c>
      <c r="C1259" s="10">
        <f>HYPERLINK("https://www.ibm.com/docs/en/storage-ceph/9.9.1?topic=cephfs-configuring-metadata-server-daemons","https://www.ibm.com/docs/en/storage-ceph/9.9.1?topic=cephfs-configuring-metadata-server-daemons")</f>
        <v/>
      </c>
    </row>
    <row r="1260" ht="18" customHeight="1">
      <c r="A1260" s="8" t="inlineStr">
        <is>
          <t>20.2.3</t>
        </is>
      </c>
      <c r="B1260" s="9" t="inlineStr">
        <is>
          <t xml:space="preserve">    Configuring journaler</t>
        </is>
      </c>
      <c r="C1260" s="10">
        <f>HYPERLINK("https://www.ibm.com/docs/en/storage-ceph/9.9.1?topic=cephfs-configuring-journaler","https://www.ibm.com/docs/en/storage-ceph/9.9.1?topic=cephfs-configuring-journaler")</f>
        <v/>
      </c>
    </row>
    <row r="1261" ht="18" customHeight="1">
      <c r="A1261" s="8" t="inlineStr">
        <is>
          <t>20.2.4</t>
        </is>
      </c>
      <c r="B1261" s="9" t="inlineStr">
        <is>
          <t xml:space="preserve">    Configuring Ceph File System mirrors</t>
        </is>
      </c>
      <c r="C1261" s="10">
        <f>HYPERLINK("https://www.ibm.com/docs/en/storage-ceph/9.9.1?topic=cephfs-configuring-ceph-file-system-mirrors","https://www.ibm.com/docs/en/storage-ceph/9.9.1?topic=cephfs-configuring-ceph-file-system-mirrors")</f>
        <v/>
      </c>
    </row>
    <row r="1262" ht="18" customHeight="1">
      <c r="A1262" s="5" t="inlineStr">
        <is>
          <t>20.3</t>
        </is>
      </c>
      <c r="B1262" s="6" t="inlineStr">
        <is>
          <t xml:space="preserve">  CephFS and the Metadata Server</t>
        </is>
      </c>
      <c r="C1262" s="7">
        <f>HYPERLINK("https://www.ibm.com/docs/en/storage-ceph/9.9.1?topic=systems-cephfs-metadata-server","https://www.ibm.com/docs/en/storage-ceph/9.9.1?topic=systems-cephfs-metadata-server")</f>
        <v/>
      </c>
    </row>
    <row r="1263" ht="18" customHeight="1">
      <c r="A1263" s="5" t="inlineStr">
        <is>
          <t>20.4</t>
        </is>
      </c>
      <c r="B1263" s="6" t="inlineStr">
        <is>
          <t xml:space="preserve">  CephFS volumes, subvolumes, and subvolume groups</t>
        </is>
      </c>
      <c r="C1263" s="7">
        <f>HYPERLINK("https://www.ibm.com/docs/en/storage-ceph/9.9.1?topic=systems-cephfs-volumes-subvolumes-subvolume-groups","https://www.ibm.com/docs/en/storage-ceph/9.9.1?topic=systems-cephfs-volumes-subvolumes-subvolume-groups")</f>
        <v/>
      </c>
    </row>
    <row r="1264" ht="18" customHeight="1">
      <c r="A1264" s="5" t="inlineStr">
        <is>
          <t>20.5</t>
        </is>
      </c>
      <c r="B1264" s="6" t="inlineStr">
        <is>
          <t xml:space="preserve">  File system components</t>
        </is>
      </c>
      <c r="C1264" s="7">
        <f>HYPERLINK("https://www.ibm.com/docs/en/storage-ceph/9.9.1?topic=systems-file-system-components","https://www.ibm.com/docs/en/storage-ceph/9.9.1?topic=systems-file-system-components")</f>
        <v/>
      </c>
    </row>
    <row r="1265" ht="18" customHeight="1">
      <c r="A1265" s="5" t="inlineStr">
        <is>
          <t>20.6</t>
        </is>
      </c>
      <c r="B1265" s="6" t="inlineStr">
        <is>
          <t xml:space="preserve">  CephFS and SELinux</t>
        </is>
      </c>
      <c r="C1265" s="7">
        <f>HYPERLINK("https://www.ibm.com/docs/en/storage-ceph/9.9.1?topic=systems-cephfs-selinux","https://www.ibm.com/docs/en/storage-ceph/9.9.1?topic=systems-cephfs-selinux")</f>
        <v/>
      </c>
    </row>
    <row r="1266" ht="18" customHeight="1">
      <c r="A1266" s="5" t="inlineStr">
        <is>
          <t>20.7</t>
        </is>
      </c>
      <c r="B1266" s="6" t="inlineStr">
        <is>
          <t xml:space="preserve">  CephFS limitations and the POSIX standards</t>
        </is>
      </c>
      <c r="C1266" s="7">
        <f>HYPERLINK("https://www.ibm.com/docs/en/storage-ceph/9.9.1?topic=systems-cephfs-limitations-posix-standards","https://www.ibm.com/docs/en/storage-ceph/9.9.1?topic=systems-cephfs-limitations-posix-standards")</f>
        <v/>
      </c>
    </row>
    <row r="1267" ht="18" customHeight="1">
      <c r="A1267" s="5" t="inlineStr">
        <is>
          <t>20.8</t>
        </is>
      </c>
      <c r="B1267" s="6" t="inlineStr">
        <is>
          <t xml:space="preserve">  CephFS Metadata Server</t>
        </is>
      </c>
      <c r="C1267" s="7">
        <f>HYPERLINK("https://www.ibm.com/docs/en/storage-ceph/9.9.1?topic=cfs-cephfs-metadata-server","https://www.ibm.com/docs/en/storage-ceph/9.9.1?topic=cfs-cephfs-metadata-server")</f>
        <v/>
      </c>
    </row>
    <row r="1268" ht="18" customHeight="1">
      <c r="A1268" s="8" t="inlineStr">
        <is>
          <t>20.8.1</t>
        </is>
      </c>
      <c r="B1268" s="9" t="inlineStr">
        <is>
          <t xml:space="preserve">    Metadata Server daemon states</t>
        </is>
      </c>
      <c r="C1268" s="10">
        <f>HYPERLINK("https://www.ibm.com/docs/en/storage-ceph/9.9.1?topic=server-metadata-daemon-states","https://www.ibm.com/docs/en/storage-ceph/9.9.1?topic=server-metadata-daemon-states")</f>
        <v/>
      </c>
    </row>
    <row r="1269" ht="18" customHeight="1">
      <c r="A1269" s="8" t="inlineStr">
        <is>
          <t>20.8.2</t>
        </is>
      </c>
      <c r="B1269" s="9" t="inlineStr">
        <is>
          <t xml:space="preserve">    Metadata Server ranks</t>
        </is>
      </c>
      <c r="C1269" s="10">
        <f>HYPERLINK("https://www.ibm.com/docs/en/storage-ceph/9.9.1?topic=server-metadata-ranks","https://www.ibm.com/docs/en/storage-ceph/9.9.1?topic=server-metadata-ranks")</f>
        <v/>
      </c>
    </row>
    <row r="1270" ht="18" customHeight="1">
      <c r="A1270" s="8" t="inlineStr">
        <is>
          <t>20.8.3</t>
        </is>
      </c>
      <c r="B1270" s="9" t="inlineStr">
        <is>
          <t xml:space="preserve">    Metadata Server cache size limits</t>
        </is>
      </c>
      <c r="C1270" s="10">
        <f>HYPERLINK("https://www.ibm.com/docs/en/storage-ceph/9.9.1?topic=server-metadata-cache-size-limits","https://www.ibm.com/docs/en/storage-ceph/9.9.1?topic=server-metadata-cache-size-limits")</f>
        <v/>
      </c>
    </row>
    <row r="1271" ht="18" customHeight="1">
      <c r="A1271" s="8" t="inlineStr">
        <is>
          <t>20.8.4</t>
        </is>
      </c>
      <c r="B1271" s="9" t="inlineStr">
        <is>
          <t xml:space="preserve">    File system affinity</t>
        </is>
      </c>
      <c r="C1271" s="10">
        <f>HYPERLINK("https://www.ibm.com/docs/en/storage-ceph/9.9.1?topic=server-file-system-affinity","https://www.ibm.com/docs/en/storage-ceph/9.9.1?topic=server-file-system-affinity")</f>
        <v/>
      </c>
    </row>
    <row r="1272" ht="18" customHeight="1">
      <c r="A1272" s="8" t="inlineStr">
        <is>
          <t>20.8.5</t>
        </is>
      </c>
      <c r="B1272" s="9" t="inlineStr">
        <is>
          <t xml:space="preserve">    Managing the MDS service using the Ceph Orchestrator</t>
        </is>
      </c>
      <c r="C1272" s="10">
        <f>HYPERLINK("https://www.ibm.com/docs/en/storage-ceph/9.9.1?topic=server-managing-mds-service-using-ceph-orchestrator","https://www.ibm.com/docs/en/storage-ceph/9.9.1?topic=server-managing-mds-service-using-ceph-orchestrator")</f>
        <v/>
      </c>
    </row>
    <row r="1273" ht="18" customHeight="1">
      <c r="A1273" s="8" t="inlineStr">
        <is>
          <t>20.8.5.1</t>
        </is>
      </c>
      <c r="B1273" s="9" t="inlineStr">
        <is>
          <t xml:space="preserve">      Deploying the MDS service with the command-line interface</t>
        </is>
      </c>
      <c r="C1273" s="10">
        <f>HYPERLINK("https://www.ibm.com/docs/en/storage-ceph/9.9.1?topic=mmsuco-deploying-mds-service-command-line-interface","https://www.ibm.com/docs/en/storage-ceph/9.9.1?topic=mmsuco-deploying-mds-service-command-line-interface")</f>
        <v/>
      </c>
    </row>
    <row r="1274" ht="18" customHeight="1">
      <c r="A1274" s="8" t="inlineStr">
        <is>
          <t>20.8.5.2</t>
        </is>
      </c>
      <c r="B1274" s="9" t="inlineStr">
        <is>
          <t xml:space="preserve">      Deploying the MDS service using the service specification</t>
        </is>
      </c>
      <c r="C1274" s="10">
        <f>HYPERLINK("https://www.ibm.com/docs/en/storage-ceph/9.9.1?topic=mmsuco-deploying-mds-service-using-service-specification","https://www.ibm.com/docs/en/storage-ceph/9.9.1?topic=mmsuco-deploying-mds-service-using-service-specification")</f>
        <v/>
      </c>
    </row>
    <row r="1275" ht="18" customHeight="1">
      <c r="A1275" s="8" t="inlineStr">
        <is>
          <t>20.8.5.3</t>
        </is>
      </c>
      <c r="B1275" s="9" t="inlineStr">
        <is>
          <t xml:space="preserve">      Removing the MDS service using the Ceph Orchestrator</t>
        </is>
      </c>
      <c r="C1275" s="10">
        <f>HYPERLINK("https://www.ibm.com/docs/en/storage-ceph/9.9.1?topic=mmsuco-removing-mds-service-using-ceph-orchestrator","https://www.ibm.com/docs/en/storage-ceph/9.9.1?topic=mmsuco-removing-mds-service-using-ceph-orchestrator")</f>
        <v/>
      </c>
    </row>
    <row r="1276" ht="18" customHeight="1">
      <c r="A1276" s="8" t="inlineStr">
        <is>
          <t>20.8.6</t>
        </is>
      </c>
      <c r="B1276" s="9" t="inlineStr">
        <is>
          <t xml:space="preserve">    Configuring file system affinity</t>
        </is>
      </c>
      <c r="C1276" s="10">
        <f>HYPERLINK("https://www.ibm.com/docs/en/storage-ceph/9.9.1?topic=server-configuring-file-system-affinity","https://www.ibm.com/docs/en/storage-ceph/9.9.1?topic=server-configuring-file-system-affinity")</f>
        <v/>
      </c>
    </row>
    <row r="1277" ht="18" customHeight="1">
      <c r="A1277" s="8" t="inlineStr">
        <is>
          <t>20.8.7</t>
        </is>
      </c>
      <c r="B1277" s="9" t="inlineStr">
        <is>
          <t xml:space="preserve">    Configuring multiple active Metadata Server daemons</t>
        </is>
      </c>
      <c r="C1277" s="10">
        <f>HYPERLINK("https://www.ibm.com/docs/en/storage-ceph/9.9.1?topic=server-configuring-multiple-active-metadata-daemons","https://www.ibm.com/docs/en/storage-ceph/9.9.1?topic=server-configuring-multiple-active-metadata-daemons")</f>
        <v/>
      </c>
    </row>
    <row r="1278" ht="18" customHeight="1">
      <c r="A1278" s="8" t="inlineStr">
        <is>
          <t>20.8.8</t>
        </is>
      </c>
      <c r="B1278" s="9" t="inlineStr">
        <is>
          <t xml:space="preserve">    Configuring the number of standby daemons</t>
        </is>
      </c>
      <c r="C1278" s="10">
        <f>HYPERLINK("https://www.ibm.com/docs/en/storage-ceph/9.9.1?topic=server-configuring-number-standby-daemons","https://www.ibm.com/docs/en/storage-ceph/9.9.1?topic=server-configuring-number-standby-daemons")</f>
        <v/>
      </c>
    </row>
    <row r="1279" ht="18" customHeight="1">
      <c r="A1279" s="8" t="inlineStr">
        <is>
          <t>20.8.9</t>
        </is>
      </c>
      <c r="B1279" s="9" t="inlineStr">
        <is>
          <t xml:space="preserve">    Configuring the standby-replay Metadata Server</t>
        </is>
      </c>
      <c r="C1279" s="10">
        <f>HYPERLINK("https://www.ibm.com/docs/en/storage-ceph/9.9.1?topic=server-configuring-standby-replay-metadata","https://www.ibm.com/docs/en/storage-ceph/9.9.1?topic=server-configuring-standby-replay-metadata")</f>
        <v/>
      </c>
    </row>
    <row r="1280" ht="18" customHeight="1">
      <c r="A1280" s="8" t="inlineStr">
        <is>
          <t>20.8.10</t>
        </is>
      </c>
      <c r="B1280" s="9" t="inlineStr">
        <is>
          <t xml:space="preserve">    Ephemeral pinning policies</t>
        </is>
      </c>
      <c r="C1280" s="10">
        <f>HYPERLINK("https://www.ibm.com/docs/en/storage-ceph/9.9.1?topic=server-ephemeral-pinning-policies","https://www.ibm.com/docs/en/storage-ceph/9.9.1?topic=server-ephemeral-pinning-policies")</f>
        <v/>
      </c>
    </row>
    <row r="1281" ht="18" customHeight="1">
      <c r="A1281" s="8" t="inlineStr">
        <is>
          <t>20.8.11</t>
        </is>
      </c>
      <c r="B1281" s="9" t="inlineStr">
        <is>
          <t xml:space="preserve">    Manually pinning directory trees to a particular rank</t>
        </is>
      </c>
      <c r="C1281" s="10">
        <f>HYPERLINK("https://www.ibm.com/docs/en/storage-ceph/9.9.1?topic=server-manually-pinning-directory-trees-particular-rank","https://www.ibm.com/docs/en/storage-ceph/9.9.1?topic=server-manually-pinning-directory-trees-particular-rank")</f>
        <v/>
      </c>
    </row>
    <row r="1282" ht="18" customHeight="1">
      <c r="A1282" s="8" t="inlineStr">
        <is>
          <t>20.8.12</t>
        </is>
      </c>
      <c r="B1282" s="9" t="inlineStr">
        <is>
          <t xml:space="preserve">    Decreasing the number of active Metadata Server daemons</t>
        </is>
      </c>
      <c r="C1282" s="10">
        <f>HYPERLINK("https://www.ibm.com/docs/en/storage-ceph/9.9.1?topic=server-decreasing-number-active-metadata-daemons","https://www.ibm.com/docs/en/storage-ceph/9.9.1?topic=server-decreasing-number-active-metadata-daemons")</f>
        <v/>
      </c>
    </row>
    <row r="1283" ht="18" customHeight="1">
      <c r="A1283" s="8" t="inlineStr">
        <is>
          <t>20.8.13</t>
        </is>
      </c>
      <c r="B1283" s="9" t="inlineStr">
        <is>
          <t xml:space="preserve">    Viewing metrics for Ceph metadata server clients</t>
        </is>
      </c>
      <c r="C1283" s="10">
        <f>HYPERLINK("https://www.ibm.com/docs/en/storage-ceph/9.9.1?topic=server-viewing-metrics-ceph-metadata-clients","https://www.ibm.com/docs/en/storage-ceph/9.9.1?topic=server-viewing-metrics-ceph-metadata-clients")</f>
        <v/>
      </c>
    </row>
    <row r="1284" ht="18" customHeight="1">
      <c r="A1284" s="5" t="inlineStr">
        <is>
          <t>20.9</t>
        </is>
      </c>
      <c r="B1284" s="6" t="inlineStr">
        <is>
          <t xml:space="preserve">  Deploying the CephFS</t>
        </is>
      </c>
      <c r="C1284" s="7">
        <f>HYPERLINK("https://www.ibm.com/docs/en/storage-ceph/9.9.1?topic=systems-deploying-cephfs","https://www.ibm.com/docs/en/storage-ceph/9.9.1?topic=systems-deploying-cephfs")</f>
        <v/>
      </c>
    </row>
    <row r="1285" ht="18" customHeight="1">
      <c r="A1285" s="8" t="inlineStr">
        <is>
          <t>20.9.1</t>
        </is>
      </c>
      <c r="B1285" s="9" t="inlineStr">
        <is>
          <t xml:space="preserve">    Layout, quota, snapshot, and network restrictions</t>
        </is>
      </c>
      <c r="C1285" s="10">
        <f>HYPERLINK("https://www.ibm.com/docs/en/storage-ceph/9.9.1?topic=cephfs-layout-quota-snapshot-network-restrictions","https://www.ibm.com/docs/en/storage-ceph/9.9.1?topic=cephfs-layout-quota-snapshot-network-restrictions")</f>
        <v/>
      </c>
    </row>
    <row r="1286" ht="18" customHeight="1">
      <c r="A1286" s="8" t="inlineStr">
        <is>
          <t>20.9.2</t>
        </is>
      </c>
      <c r="B1286" s="9" t="inlineStr">
        <is>
          <t xml:space="preserve">    Creating Ceph File Systems</t>
        </is>
      </c>
      <c r="C1286" s="10">
        <f>HYPERLINK("https://www.ibm.com/docs/en/storage-ceph/9.9.1?topic=cephfs-creating-ceph-file-systems","https://www.ibm.com/docs/en/storage-ceph/9.9.1?topic=cephfs-creating-ceph-file-systems")</f>
        <v/>
      </c>
    </row>
    <row r="1287" ht="18" customHeight="1">
      <c r="A1287" s="8" t="inlineStr">
        <is>
          <t>20.9.3</t>
        </is>
      </c>
      <c r="B1287" s="9" t="inlineStr">
        <is>
          <t xml:space="preserve">    Adding an erasure-coded pool to a Ceph File System</t>
        </is>
      </c>
      <c r="C1287" s="10">
        <f>HYPERLINK("https://www.ibm.com/docs/en/storage-ceph/9.9.1?topic=cephfs-adding-erasure-coded-pool-ceph-file-system","https://www.ibm.com/docs/en/storage-ceph/9.9.1?topic=cephfs-adding-erasure-coded-pool-ceph-file-system")</f>
        <v/>
      </c>
    </row>
    <row r="1288" ht="18" customHeight="1">
      <c r="A1288" s="8" t="inlineStr">
        <is>
          <t>20.9.4</t>
        </is>
      </c>
      <c r="B1288" s="9" t="inlineStr">
        <is>
          <t xml:space="preserve">    Creating client users for a Ceph File System</t>
        </is>
      </c>
      <c r="C1288" s="10">
        <f>HYPERLINK("https://www.ibm.com/docs/en/storage-ceph/9.9.1?topic=cephfs-creating-client-users-ceph-file-system","https://www.ibm.com/docs/en/storage-ceph/9.9.1?topic=cephfs-creating-client-users-ceph-file-system")</f>
        <v/>
      </c>
    </row>
    <row r="1289" ht="18" customHeight="1">
      <c r="A1289" s="8" t="inlineStr">
        <is>
          <t>20.9.5</t>
        </is>
      </c>
      <c r="B1289" s="9" t="inlineStr">
        <is>
          <t xml:space="preserve">    Mounting the Ceph File System as a kernel client</t>
        </is>
      </c>
      <c r="C1289" s="10">
        <f>HYPERLINK("https://www.ibm.com/docs/en/storage-ceph/9.9.1?topic=cephfs-mounting-ceph-file-system-as-kernel-client","https://www.ibm.com/docs/en/storage-ceph/9.9.1?topic=cephfs-mounting-ceph-file-system-as-kernel-client")</f>
        <v/>
      </c>
    </row>
    <row r="1290" ht="18" customHeight="1">
      <c r="A1290" s="8" t="inlineStr">
        <is>
          <t>20.9.6</t>
        </is>
      </c>
      <c r="B1290" s="9" t="inlineStr">
        <is>
          <t xml:space="preserve">    Mounting the Ceph File System as a FUSE client</t>
        </is>
      </c>
      <c r="C1290" s="10">
        <f>HYPERLINK("https://www.ibm.com/docs/en/storage-ceph/9.9.1?topic=cephfs-mounting-ceph-file-system-as-fuse-client","https://www.ibm.com/docs/en/storage-ceph/9.9.1?topic=cephfs-mounting-ceph-file-system-as-fuse-client")</f>
        <v/>
      </c>
    </row>
    <row r="1291" ht="18" customHeight="1">
      <c r="A1291" s="5" t="inlineStr">
        <is>
          <t>20.10</t>
        </is>
      </c>
      <c r="B1291" s="6" t="inlineStr">
        <is>
          <t xml:space="preserve">  Managing CephFS volumes</t>
        </is>
      </c>
      <c r="C1291" s="7">
        <f>HYPERLINK("https://www.ibm.com/docs/en/storage-ceph/9.9.1?topic=systems-managing-cephfs-volumes","https://www.ibm.com/docs/en/storage-ceph/9.9.1?topic=systems-managing-cephfs-volumes")</f>
        <v/>
      </c>
    </row>
    <row r="1292" ht="18" customHeight="1">
      <c r="A1292" s="8" t="inlineStr">
        <is>
          <t>20.10.1</t>
        </is>
      </c>
      <c r="B1292" s="9" t="inlineStr">
        <is>
          <t xml:space="preserve">    CephFS volumes</t>
        </is>
      </c>
      <c r="C1292" s="10">
        <f>HYPERLINK("https://www.ibm.com/docs/en/storage-ceph/9.9.1?topic=volumes-cephfs","https://www.ibm.com/docs/en/storage-ceph/9.9.1?topic=volumes-cephfs")</f>
        <v/>
      </c>
    </row>
    <row r="1293" ht="18" customHeight="1">
      <c r="A1293" s="8" t="inlineStr">
        <is>
          <t>20.10.1.1</t>
        </is>
      </c>
      <c r="B1293" s="9" t="inlineStr">
        <is>
          <t xml:space="preserve">      Creating a CephFS volume</t>
        </is>
      </c>
      <c r="C1293" s="10">
        <f>HYPERLINK("https://www.ibm.com/docs/en/storage-ceph/9.9.1?topic=volumes-creating-cephfs-volume","https://www.ibm.com/docs/en/storage-ceph/9.9.1?topic=volumes-creating-cephfs-volume")</f>
        <v/>
      </c>
    </row>
    <row r="1294" ht="18" customHeight="1">
      <c r="A1294" s="8" t="inlineStr">
        <is>
          <t>20.10.1.2</t>
        </is>
      </c>
      <c r="B1294" s="9" t="inlineStr">
        <is>
          <t xml:space="preserve">      Listing CephFS volumes</t>
        </is>
      </c>
      <c r="C1294" s="10">
        <f>HYPERLINK("https://www.ibm.com/docs/en/storage-ceph/9.9.1?topic=volumes-listing-cephfs","https://www.ibm.com/docs/en/storage-ceph/9.9.1?topic=volumes-listing-cephfs")</f>
        <v/>
      </c>
    </row>
    <row r="1295" ht="18" customHeight="1">
      <c r="A1295" s="8" t="inlineStr">
        <is>
          <t>20.10.1.3</t>
        </is>
      </c>
      <c r="B1295" s="9" t="inlineStr">
        <is>
          <t xml:space="preserve">      Viewing information about a CephFS volume</t>
        </is>
      </c>
      <c r="C1295" s="10">
        <f>HYPERLINK("https://www.ibm.com/docs/en/storage-ceph/9.9.1?topic=volumes-viewing-information-about-cephfs-volume","https://www.ibm.com/docs/en/storage-ceph/9.9.1?topic=volumes-viewing-information-about-cephfs-volume")</f>
        <v/>
      </c>
    </row>
    <row r="1296" ht="18" customHeight="1">
      <c r="A1296" s="8" t="inlineStr">
        <is>
          <t>20.10.1.4</t>
        </is>
      </c>
      <c r="B1296" s="9" t="inlineStr">
        <is>
          <t xml:space="preserve">      Removing a CephFS volume</t>
        </is>
      </c>
      <c r="C1296" s="10">
        <f>HYPERLINK("https://www.ibm.com/docs/en/storage-ceph/9.9.1?topic=volumes-removing-cephfs-volume","https://www.ibm.com/docs/en/storage-ceph/9.9.1?topic=volumes-removing-cephfs-volume")</f>
        <v/>
      </c>
    </row>
    <row r="1297" ht="18" customHeight="1">
      <c r="A1297" s="8" t="inlineStr">
        <is>
          <t>20.10.2</t>
        </is>
      </c>
      <c r="B1297" s="9" t="inlineStr">
        <is>
          <t xml:space="preserve">    CephFS subvolumes</t>
        </is>
      </c>
      <c r="C1297" s="10">
        <f>HYPERLINK("https://www.ibm.com/docs/en/storage-ceph/9.9.1?topic=volumes-cephfs-subvolumes","https://www.ibm.com/docs/en/storage-ceph/9.9.1?topic=volumes-cephfs-subvolumes")</f>
        <v/>
      </c>
    </row>
    <row r="1298" ht="18" customHeight="1">
      <c r="A1298" s="8" t="inlineStr">
        <is>
          <t>20.10.2.1</t>
        </is>
      </c>
      <c r="B1298" s="9" t="inlineStr">
        <is>
          <t xml:space="preserve">      Creating a file system subvolume</t>
        </is>
      </c>
      <c r="C1298" s="10">
        <f>HYPERLINK("https://www.ibm.com/docs/en/storage-ceph/9.9.1?topic=subvolumes-creating-file-system-subvolume","https://www.ibm.com/docs/en/storage-ceph/9.9.1?topic=subvolumes-creating-file-system-subvolume")</f>
        <v/>
      </c>
    </row>
    <row r="1299" ht="18" customHeight="1">
      <c r="A1299" s="8" t="inlineStr">
        <is>
          <t>20.10.2.2</t>
        </is>
      </c>
      <c r="B1299" s="9" t="inlineStr">
        <is>
          <t xml:space="preserve">      Listing a file system subvolume</t>
        </is>
      </c>
      <c r="C1299" s="10">
        <f>HYPERLINK("https://www.ibm.com/docs/en/storage-ceph/9.9.1?topic=subvolumes-listing-file-system-subvolume","https://www.ibm.com/docs/en/storage-ceph/9.9.1?topic=subvolumes-listing-file-system-subvolume")</f>
        <v/>
      </c>
    </row>
    <row r="1300" ht="18" customHeight="1">
      <c r="A1300" s="8" t="inlineStr">
        <is>
          <t>20.10.2.3</t>
        </is>
      </c>
      <c r="B1300" s="9" t="inlineStr">
        <is>
          <t xml:space="preserve">      Resizing a file system subvolume</t>
        </is>
      </c>
      <c r="C1300" s="10">
        <f>HYPERLINK("https://www.ibm.com/docs/en/storage-ceph/9.9.1?topic=subvolumes-resizing-file-system-subvolume","https://www.ibm.com/docs/en/storage-ceph/9.9.1?topic=subvolumes-resizing-file-system-subvolume")</f>
        <v/>
      </c>
    </row>
    <row r="1301" ht="18" customHeight="1">
      <c r="A1301" s="8" t="inlineStr">
        <is>
          <t>20.10.2.4</t>
        </is>
      </c>
      <c r="B1301" s="9" t="inlineStr">
        <is>
          <t xml:space="preserve">      Fetching absolute path of a file system subvolume</t>
        </is>
      </c>
      <c r="C1301" s="10">
        <f>HYPERLINK("https://www.ibm.com/docs/en/storage-ceph/9.9.1?topic=subvolumes-fetching-absolute-path-file-system-subvolume","https://www.ibm.com/docs/en/storage-ceph/9.9.1?topic=subvolumes-fetching-absolute-path-file-system-subvolume")</f>
        <v/>
      </c>
    </row>
    <row r="1302" ht="18" customHeight="1">
      <c r="A1302" s="8" t="inlineStr">
        <is>
          <t>20.10.2.5</t>
        </is>
      </c>
      <c r="B1302" s="9" t="inlineStr">
        <is>
          <t xml:space="preserve">      Fetching metadata of a file system subvolume</t>
        </is>
      </c>
      <c r="C1302" s="10">
        <f>HYPERLINK("https://www.ibm.com/docs/en/storage-ceph/9.9.1?topic=subvolumes-fetching-metadata-file-system-subvolume","https://www.ibm.com/docs/en/storage-ceph/9.9.1?topic=subvolumes-fetching-metadata-file-system-subvolume")</f>
        <v/>
      </c>
    </row>
    <row r="1303" ht="18" customHeight="1">
      <c r="A1303" s="8" t="inlineStr">
        <is>
          <t>20.10.2.6</t>
        </is>
      </c>
      <c r="B1303" s="9" t="inlineStr">
        <is>
          <t xml:space="preserve">      Creating snapshot of a file system subvolume</t>
        </is>
      </c>
      <c r="C1303" s="10">
        <f>HYPERLINK("https://www.ibm.com/docs/en/storage-ceph/9.9.1?topic=subvolumes-creating-snapshot-file-system-subvolume","https://www.ibm.com/docs/en/storage-ceph/9.9.1?topic=subvolumes-creating-snapshot-file-system-subvolume")</f>
        <v/>
      </c>
    </row>
    <row r="1304" ht="18" customHeight="1">
      <c r="A1304" s="8" t="inlineStr">
        <is>
          <t>20.10.2.7</t>
        </is>
      </c>
      <c r="B1304" s="9" t="inlineStr">
        <is>
          <t xml:space="preserve">      Cloning subvolumes from snapshots</t>
        </is>
      </c>
      <c r="C1304" s="10">
        <f>HYPERLINK("https://www.ibm.com/docs/en/storage-ceph/9.9.1?topic=subvolumes-cloning-from-snapshots","https://www.ibm.com/docs/en/storage-ceph/9.9.1?topic=subvolumes-cloning-from-snapshots")</f>
        <v/>
      </c>
    </row>
    <row r="1305" ht="18" customHeight="1">
      <c r="A1305" s="8" t="inlineStr">
        <is>
          <t>20.10.2.8</t>
        </is>
      </c>
      <c r="B1305" s="9" t="inlineStr">
        <is>
          <t xml:space="preserve">      Listing snapshots of a file system subvolume</t>
        </is>
      </c>
      <c r="C1305" s="10">
        <f>HYPERLINK("https://www.ibm.com/docs/en/storage-ceph/9.9.1?topic=subvolumes-listing-snapshots-file-system-subvolume","https://www.ibm.com/docs/en/storage-ceph/9.9.1?topic=subvolumes-listing-snapshots-file-system-subvolume")</f>
        <v/>
      </c>
    </row>
    <row r="1306" ht="18" customHeight="1">
      <c r="A1306" s="8" t="inlineStr">
        <is>
          <t>20.10.2.9</t>
        </is>
      </c>
      <c r="B1306" s="9" t="inlineStr">
        <is>
          <t xml:space="preserve">      Fetching metadata of the snapshots of a file system subvolume</t>
        </is>
      </c>
      <c r="C1306" s="10">
        <f>HYPERLINK("https://www.ibm.com/docs/en/storage-ceph/9.9.1?topic=subvolumes-fetching-metadata-snapshots-file-system-subvolume","https://www.ibm.com/docs/en/storage-ceph/9.9.1?topic=subvolumes-fetching-metadata-snapshots-file-system-subvolume")</f>
        <v/>
      </c>
    </row>
    <row r="1307" ht="18" customHeight="1">
      <c r="A1307" s="8" t="inlineStr">
        <is>
          <t>20.10.2.10</t>
        </is>
      </c>
      <c r="B1307" s="9" t="inlineStr">
        <is>
          <t xml:space="preserve">      Removing a file system subvolume</t>
        </is>
      </c>
      <c r="C1307" s="10">
        <f>HYPERLINK("https://www.ibm.com/docs/en/storage-ceph/9.9.1?topic=subvolumes-removing-file-system-subvolume","https://www.ibm.com/docs/en/storage-ceph/9.9.1?topic=subvolumes-removing-file-system-subvolume")</f>
        <v/>
      </c>
    </row>
    <row r="1308" ht="18" customHeight="1">
      <c r="A1308" s="8" t="inlineStr">
        <is>
          <t>20.10.2.11</t>
        </is>
      </c>
      <c r="B1308" s="9" t="inlineStr">
        <is>
          <t xml:space="preserve">      Removing snapshot of a file system subvolume</t>
        </is>
      </c>
      <c r="C1308" s="10">
        <f>HYPERLINK("https://www.ibm.com/docs/en/storage-ceph/9.9.1?topic=subvolumes-removing-snapshot-file-system-subvolume","https://www.ibm.com/docs/en/storage-ceph/9.9.1?topic=subvolumes-removing-snapshot-file-system-subvolume")</f>
        <v/>
      </c>
    </row>
    <row r="1309" ht="18" customHeight="1">
      <c r="A1309" s="8" t="inlineStr">
        <is>
          <t>20.10.2.12</t>
        </is>
      </c>
      <c r="B1309" s="9" t="inlineStr">
        <is>
          <t xml:space="preserve">      Earmarking a file system subvolume</t>
        </is>
      </c>
      <c r="C1309" s="10">
        <f>HYPERLINK("https://www.ibm.com/docs/en/storage-ceph/9.9.1?topic=subvolumes-earmarking-file-system-subvolume","https://www.ibm.com/docs/en/storage-ceph/9.9.1?topic=subvolumes-earmarking-file-system-subvolume")</f>
        <v/>
      </c>
    </row>
    <row r="1310" ht="18" customHeight="1">
      <c r="A1310" s="8" t="inlineStr">
        <is>
          <t>20.10.2.13</t>
        </is>
      </c>
      <c r="B1310" s="9" t="inlineStr">
        <is>
          <t xml:space="preserve">      Managing Character Mapping for subvolume</t>
        </is>
      </c>
      <c r="C1310" s="10">
        <f>HYPERLINK("https://www.ibm.com/docs/en/storage-ceph/9.9.1?topic=subvolumes-managing-character-mapping-subvolume","https://www.ibm.com/docs/en/storage-ceph/9.9.1?topic=subvolumes-managing-character-mapping-subvolume")</f>
        <v/>
      </c>
    </row>
    <row r="1311" ht="18" customHeight="1">
      <c r="A1311" s="8" t="inlineStr">
        <is>
          <t>20.10.3</t>
        </is>
      </c>
      <c r="B1311" s="9" t="inlineStr">
        <is>
          <t xml:space="preserve">    CephFS subvolume groups</t>
        </is>
      </c>
      <c r="C1311" s="10">
        <f>HYPERLINK("https://www.ibm.com/docs/en/storage-ceph/9.9.1?topic=volumes-cephfs-subvolume-groups","https://www.ibm.com/docs/en/storage-ceph/9.9.1?topic=volumes-cephfs-subvolume-groups")</f>
        <v/>
      </c>
    </row>
    <row r="1312" ht="18" customHeight="1">
      <c r="A1312" s="8" t="inlineStr">
        <is>
          <t>20.10.3.1</t>
        </is>
      </c>
      <c r="B1312" s="9" t="inlineStr">
        <is>
          <t xml:space="preserve">      Creating a file system subvolume group</t>
        </is>
      </c>
      <c r="C1312" s="10">
        <f>HYPERLINK("https://www.ibm.com/docs/en/storage-ceph/9.9.1?topic=groups-creating-file-system-subvolume-group","https://www.ibm.com/docs/en/storage-ceph/9.9.1?topic=groups-creating-file-system-subvolume-group")</f>
        <v/>
      </c>
    </row>
    <row r="1313" ht="18" customHeight="1">
      <c r="A1313" s="8" t="inlineStr">
        <is>
          <t>20.10.3.2</t>
        </is>
      </c>
      <c r="B1313" s="9" t="inlineStr">
        <is>
          <t xml:space="preserve">      Setting and managing quotas on a file system subvolume group</t>
        </is>
      </c>
      <c r="C1313" s="10">
        <f>HYPERLINK("https://www.ibm.com/docs/en/storage-ceph/9.9.1?topic=groups-setting-managing-quotas-file-system-subvolume-group","https://www.ibm.com/docs/en/storage-ceph/9.9.1?topic=groups-setting-managing-quotas-file-system-subvolume-group")</f>
        <v/>
      </c>
    </row>
    <row r="1314" ht="18" customHeight="1">
      <c r="A1314" s="8" t="inlineStr">
        <is>
          <t>20.10.3.3</t>
        </is>
      </c>
      <c r="B1314" s="9" t="inlineStr">
        <is>
          <t xml:space="preserve">      Listing file system subvolume groups</t>
        </is>
      </c>
      <c r="C1314" s="10">
        <f>HYPERLINK("https://www.ibm.com/docs/en/storage-ceph/9.9.1?topic=groups-listing-file-system-subvolume","https://www.ibm.com/docs/en/storage-ceph/9.9.1?topic=groups-listing-file-system-subvolume")</f>
        <v/>
      </c>
    </row>
    <row r="1315" ht="18" customHeight="1">
      <c r="A1315" s="8" t="inlineStr">
        <is>
          <t>20.10.3.4</t>
        </is>
      </c>
      <c r="B1315" s="9" t="inlineStr">
        <is>
          <t xml:space="preserve">      Fetching the absolute path of a file system subvolume group</t>
        </is>
      </c>
      <c r="C1315" s="10">
        <f>HYPERLINK("https://www.ibm.com/docs/en/storage-ceph/9.9.1?topic=groups-fetching-absolute-path-file-system-subvolume-group","https://www.ibm.com/docs/en/storage-ceph/9.9.1?topic=groups-fetching-absolute-path-file-system-subvolume-group")</f>
        <v/>
      </c>
    </row>
    <row r="1316" ht="18" customHeight="1">
      <c r="A1316" s="8" t="inlineStr">
        <is>
          <t>20.10.3.5</t>
        </is>
      </c>
      <c r="B1316" s="9" t="inlineStr">
        <is>
          <t xml:space="preserve">      Listing snapshots of a file system subvolume group</t>
        </is>
      </c>
      <c r="C1316" s="10">
        <f>HYPERLINK("https://www.ibm.com/docs/en/storage-ceph/9.9.1?topic=groups-listing-snapshots-file-system-subvolume-group","https://www.ibm.com/docs/en/storage-ceph/9.9.1?topic=groups-listing-snapshots-file-system-subvolume-group")</f>
        <v/>
      </c>
    </row>
    <row r="1317" ht="18" customHeight="1">
      <c r="A1317" s="8" t="inlineStr">
        <is>
          <t>20.10.3.6</t>
        </is>
      </c>
      <c r="B1317" s="9" t="inlineStr">
        <is>
          <t xml:space="preserve">      Removing snapshot of a file system subvolume group</t>
        </is>
      </c>
      <c r="C1317" s="10">
        <f>HYPERLINK("https://www.ibm.com/docs/en/storage-ceph/9.9.1?topic=groups-removing-snapshot-file-system-subvolume-group","https://www.ibm.com/docs/en/storage-ceph/9.9.1?topic=groups-removing-snapshot-file-system-subvolume-group")</f>
        <v/>
      </c>
    </row>
    <row r="1318" ht="18" customHeight="1">
      <c r="A1318" s="8" t="inlineStr">
        <is>
          <t>20.10.3.7</t>
        </is>
      </c>
      <c r="B1318" s="9" t="inlineStr">
        <is>
          <t xml:space="preserve">      Removing a file system subvolume group</t>
        </is>
      </c>
      <c r="C1318" s="10">
        <f>HYPERLINK("https://www.ibm.com/docs/en/storage-ceph/9.9.1?topic=groups-removing-file-system-subvolume-group","https://www.ibm.com/docs/en/storage-ceph/9.9.1?topic=groups-removing-file-system-subvolume-group")</f>
        <v/>
      </c>
    </row>
    <row r="1319" ht="18" customHeight="1">
      <c r="A1319" s="8" t="inlineStr">
        <is>
          <t>20.10.3.8</t>
        </is>
      </c>
      <c r="B1319" s="9" t="inlineStr">
        <is>
          <t xml:space="preserve">      Managing Character Mapping for subvolume group</t>
        </is>
      </c>
      <c r="C1319" s="10">
        <f>HYPERLINK("https://www.ibm.com/docs/en/storage-ceph/9.9.1?topic=groups-managing-character-mapping-subvolume-group","https://www.ibm.com/docs/en/storage-ceph/9.9.1?topic=groups-managing-character-mapping-subvolume-group")</f>
        <v/>
      </c>
    </row>
    <row r="1320" ht="18" customHeight="1">
      <c r="A1320" s="8" t="inlineStr">
        <is>
          <t>20.10.4</t>
        </is>
      </c>
      <c r="B1320" s="9" t="inlineStr">
        <is>
          <t xml:space="preserve">    Metadata information on CephFS subvolumes</t>
        </is>
      </c>
      <c r="C1320" s="10">
        <f>HYPERLINK("https://www.ibm.com/docs/en/storage-ceph/9.9.1?topic=volumes-metadata-information-cephfs-subvolumes","https://www.ibm.com/docs/en/storage-ceph/9.9.1?topic=volumes-metadata-information-cephfs-subvolumes")</f>
        <v/>
      </c>
    </row>
    <row r="1321" ht="18" customHeight="1">
      <c r="A1321" s="8" t="inlineStr">
        <is>
          <t>20.10.4.1</t>
        </is>
      </c>
      <c r="B1321" s="9" t="inlineStr">
        <is>
          <t xml:space="preserve">      Viewing subvolume metrics for CephFS metadata server clients</t>
        </is>
      </c>
      <c r="C1321" s="10">
        <f>HYPERLINK("https://www.ibm.com/docs/en/storage-ceph/9.9.1?topic=subvolumes-viewing-subvolume-metrics-cephfs-metadata-server-clients","https://www.ibm.com/docs/en/storage-ceph/9.9.1?topic=subvolumes-viewing-subvolume-metrics-cephfs-metadata-server-clients")</f>
        <v/>
      </c>
    </row>
    <row r="1322" ht="18" customHeight="1">
      <c r="A1322" s="8" t="inlineStr">
        <is>
          <t>20.10.4.2</t>
        </is>
      </c>
      <c r="B1322" s="9" t="inlineStr">
        <is>
          <t xml:space="preserve">      Setting custom metadata on the file system subvolume</t>
        </is>
      </c>
      <c r="C1322" s="10">
        <f>HYPERLINK("https://www.ibm.com/docs/en/storage-ceph/9.9.1?topic=subvolumes-setting-custom-metadata-file-system-subvolume","https://www.ibm.com/docs/en/storage-ceph/9.9.1?topic=subvolumes-setting-custom-metadata-file-system-subvolume")</f>
        <v/>
      </c>
    </row>
    <row r="1323" ht="18" customHeight="1">
      <c r="A1323" s="8" t="inlineStr">
        <is>
          <t>20.10.4.3</t>
        </is>
      </c>
      <c r="B1323" s="9" t="inlineStr">
        <is>
          <t xml:space="preserve">      Getting custom metadata on the file system subvolume</t>
        </is>
      </c>
      <c r="C1323" s="10">
        <f>HYPERLINK("https://www.ibm.com/docs/en/storage-ceph/9.9.1?topic=subvolumes-getting-custom-metadata-file-system-subvolume","https://www.ibm.com/docs/en/storage-ceph/9.9.1?topic=subvolumes-getting-custom-metadata-file-system-subvolume")</f>
        <v/>
      </c>
    </row>
    <row r="1324" ht="18" customHeight="1">
      <c r="A1324" s="8" t="inlineStr">
        <is>
          <t>20.10.4.4</t>
        </is>
      </c>
      <c r="B1324" s="9" t="inlineStr">
        <is>
          <t xml:space="preserve">      Listing custom metadata on the file system subvolume</t>
        </is>
      </c>
      <c r="C1324" s="10">
        <f>HYPERLINK("https://www.ibm.com/docs/en/storage-ceph/9.9.1?topic=subvolumes-listing-custom-metadata-file-system-subvolume","https://www.ibm.com/docs/en/storage-ceph/9.9.1?topic=subvolumes-listing-custom-metadata-file-system-subvolume")</f>
        <v/>
      </c>
    </row>
    <row r="1325" ht="18" customHeight="1">
      <c r="A1325" s="8" t="inlineStr">
        <is>
          <t>20.10.4.5</t>
        </is>
      </c>
      <c r="B1325" s="9" t="inlineStr">
        <is>
          <t xml:space="preserve">      Removing custom metadata from the file system subvolume</t>
        </is>
      </c>
      <c r="C1325" s="10">
        <f>HYPERLINK("https://www.ibm.com/docs/en/storage-ceph/9.9.1?topic=subvolumes-removing-custom-metadata-from-file-system-subvolume","https://www.ibm.com/docs/en/storage-ceph/9.9.1?topic=subvolumes-removing-custom-metadata-from-file-system-subvolume")</f>
        <v/>
      </c>
    </row>
    <row r="1326" ht="18" customHeight="1">
      <c r="A1326" s="5" t="inlineStr">
        <is>
          <t>20.11</t>
        </is>
      </c>
      <c r="B1326" s="6" t="inlineStr">
        <is>
          <t xml:space="preserve">  Administering CephFS</t>
        </is>
      </c>
      <c r="C1326" s="7">
        <f>HYPERLINK("https://www.ibm.com/docs/en/storage-ceph/9.9.1?topic=systems-administering-cephfs","https://www.ibm.com/docs/en/storage-ceph/9.9.1?topic=systems-administering-cephfs")</f>
        <v/>
      </c>
    </row>
    <row r="1327" ht="18" customHeight="1">
      <c r="A1327" s="8" t="inlineStr">
        <is>
          <t>20.11.1</t>
        </is>
      </c>
      <c r="B1327" s="9" t="inlineStr">
        <is>
          <t xml:space="preserve">    Using the cephfs-top utility</t>
        </is>
      </c>
      <c r="C1327" s="10">
        <f>HYPERLINK("https://www.ibm.com/docs/en/storage-ceph/9.9.1?topic=cephfs-using-top-utility","https://www.ibm.com/docs/en/storage-ceph/9.9.1?topic=cephfs-using-top-utility")</f>
        <v/>
      </c>
    </row>
    <row r="1328" ht="18" customHeight="1">
      <c r="A1328" s="8" t="inlineStr">
        <is>
          <t>20.11.1.1</t>
        </is>
      </c>
      <c r="B1328" s="9" t="inlineStr">
        <is>
          <t xml:space="preserve">      cephfs-top utility interactive commands</t>
        </is>
      </c>
      <c r="C1328" s="10">
        <f>HYPERLINK("https://www.ibm.com/docs/en/storage-ceph/9.9.1?topic=utility-cephfs-top-interactive-commands","https://www.ibm.com/docs/en/storage-ceph/9.9.1?topic=utility-cephfs-top-interactive-commands")</f>
        <v/>
      </c>
    </row>
    <row r="1329" ht="18" customHeight="1">
      <c r="A1329" s="8" t="inlineStr">
        <is>
          <t>20.11.1.2</t>
        </is>
      </c>
      <c r="B1329" s="9" t="inlineStr">
        <is>
          <t xml:space="preserve">      cephfs-top utility options</t>
        </is>
      </c>
      <c r="C1329" s="10">
        <f>HYPERLINK("https://www.ibm.com/docs/en/storage-ceph/9.9.1?topic=utility-cephfs-top-options","https://www.ibm.com/docs/en/storage-ceph/9.9.1?topic=utility-cephfs-top-options")</f>
        <v/>
      </c>
    </row>
    <row r="1330" ht="18" customHeight="1">
      <c r="A1330" s="8" t="inlineStr">
        <is>
          <t>20.11.2</t>
        </is>
      </c>
      <c r="B1330" s="9" t="inlineStr">
        <is>
          <t xml:space="preserve">    Using the MDS autoscaler module</t>
        </is>
      </c>
      <c r="C1330" s="10">
        <f>HYPERLINK("https://www.ibm.com/docs/en/storage-ceph/9.9.1?topic=cephfs-using-mds-autoscaler-module","https://www.ibm.com/docs/en/storage-ceph/9.9.1?topic=cephfs-using-mds-autoscaler-module")</f>
        <v/>
      </c>
    </row>
    <row r="1331" ht="18" customHeight="1">
      <c r="A1331" s="8" t="inlineStr">
        <is>
          <t>20.11.3</t>
        </is>
      </c>
      <c r="B1331" s="9" t="inlineStr">
        <is>
          <t xml:space="preserve">    Unmounting Ceph File Systems mounted as kernel clients</t>
        </is>
      </c>
      <c r="C1331" s="10">
        <f>HYPERLINK("https://www.ibm.com/docs/en/storage-ceph/9.9.1?topic=ac-unmounting-ceph-file-systems-mounted-as-kernel-clients","https://www.ibm.com/docs/en/storage-ceph/9.9.1?topic=ac-unmounting-ceph-file-systems-mounted-as-kernel-clients")</f>
        <v/>
      </c>
    </row>
    <row r="1332" ht="18" customHeight="1">
      <c r="A1332" s="8" t="inlineStr">
        <is>
          <t>20.11.4</t>
        </is>
      </c>
      <c r="B1332" s="9" t="inlineStr">
        <is>
          <t xml:space="preserve">    Unmounting Ceph File Systems mounted as FUSE clients</t>
        </is>
      </c>
      <c r="C1332" s="10">
        <f>HYPERLINK("https://www.ibm.com/docs/en/storage-ceph/9.9.1?topic=ac-unmounting-ceph-file-systems-mounted-as-fuse-clients","https://www.ibm.com/docs/en/storage-ceph/9.9.1?topic=ac-unmounting-ceph-file-systems-mounted-as-fuse-clients")</f>
        <v/>
      </c>
    </row>
    <row r="1333" ht="18" customHeight="1">
      <c r="A1333" s="8" t="inlineStr">
        <is>
          <t>20.11.5</t>
        </is>
      </c>
      <c r="B1333" s="9" t="inlineStr">
        <is>
          <t xml:space="preserve">    Mapping directory trees to Metadata Server daemon ranks</t>
        </is>
      </c>
      <c r="C1333" s="10">
        <f>HYPERLINK("https://www.ibm.com/docs/en/storage-ceph/9.9.1?topic=cephfs-mapping-directory-trees-metadata-server-daemon-ranks","https://www.ibm.com/docs/en/storage-ceph/9.9.1?topic=cephfs-mapping-directory-trees-metadata-server-daemon-ranks")</f>
        <v/>
      </c>
    </row>
    <row r="1334" ht="18" customHeight="1">
      <c r="A1334" s="8" t="inlineStr">
        <is>
          <t>20.11.6</t>
        </is>
      </c>
      <c r="B1334" s="9" t="inlineStr">
        <is>
          <t xml:space="preserve">    Disassociating directory trees from Metadata Server daemon ranks</t>
        </is>
      </c>
      <c r="C1334" s="10">
        <f>HYPERLINK("https://www.ibm.com/docs/en/storage-ceph/9.9.1?topic=ac-disassociating-directory-trees-from-metadata-server-daemon-ranks","https://www.ibm.com/docs/en/storage-ceph/9.9.1?topic=ac-disassociating-directory-trees-from-metadata-server-daemon-ranks")</f>
        <v/>
      </c>
    </row>
    <row r="1335" ht="18" customHeight="1">
      <c r="A1335" s="8" t="inlineStr">
        <is>
          <t>20.11.7</t>
        </is>
      </c>
      <c r="B1335" s="9" t="inlineStr">
        <is>
          <t xml:space="preserve">    Multiple data pools use-cases</t>
        </is>
      </c>
      <c r="C1335" s="10">
        <f>HYPERLINK("https://www.ibm.com/docs/en/storage-ceph/9.9.1?topic=cephfs-multiple-data-pools-use-cases","https://www.ibm.com/docs/en/storage-ceph/9.9.1?topic=cephfs-multiple-data-pools-use-cases")</f>
        <v/>
      </c>
    </row>
    <row r="1336" ht="18" customHeight="1">
      <c r="A1336" s="8" t="inlineStr">
        <is>
          <t>20.11.8</t>
        </is>
      </c>
      <c r="B1336" s="9" t="inlineStr">
        <is>
          <t xml:space="preserve">    Adding data pools</t>
        </is>
      </c>
      <c r="C1336" s="10">
        <f>HYPERLINK("https://www.ibm.com/docs/en/storage-ceph/9.9.1?topic=cephfs-adding-data-pools","https://www.ibm.com/docs/en/storage-ceph/9.9.1?topic=cephfs-adding-data-pools")</f>
        <v/>
      </c>
    </row>
    <row r="1337" ht="18" customHeight="1">
      <c r="A1337" s="8" t="inlineStr">
        <is>
          <t>20.11.9</t>
        </is>
      </c>
      <c r="B1337" s="9" t="inlineStr">
        <is>
          <t xml:space="preserve">    Taking down a CephFS cluster</t>
        </is>
      </c>
      <c r="C1337" s="10">
        <f>HYPERLINK("https://www.ibm.com/docs/en/storage-ceph/9.9.1?topic=cephfs-taking-down-cluster","https://www.ibm.com/docs/en/storage-ceph/9.9.1?topic=cephfs-taking-down-cluster")</f>
        <v/>
      </c>
    </row>
    <row r="1338" ht="18" customHeight="1">
      <c r="A1338" s="8" t="inlineStr">
        <is>
          <t>20.11.10</t>
        </is>
      </c>
      <c r="B1338" s="9" t="inlineStr">
        <is>
          <t xml:space="preserve">    Removing a CephFS</t>
        </is>
      </c>
      <c r="C1338" s="10">
        <f>HYPERLINK("https://www.ibm.com/docs/en/storage-ceph/9.9.1?topic=cephfs-removing","https://www.ibm.com/docs/en/storage-ceph/9.9.1?topic=cephfs-removing")</f>
        <v/>
      </c>
    </row>
    <row r="1339" ht="18" customHeight="1">
      <c r="A1339" s="8" t="inlineStr">
        <is>
          <t>20.11.11</t>
        </is>
      </c>
      <c r="B1339" s="9" t="inlineStr">
        <is>
          <t xml:space="preserve">    Using the ceph mds fail command</t>
        </is>
      </c>
      <c r="C1339" s="10">
        <f>HYPERLINK("https://www.ibm.com/docs/en/storage-ceph/9.9.1?topic=cephfs-using-ceph-mds-fail-command","https://www.ibm.com/docs/en/storage-ceph/9.9.1?topic=cephfs-using-ceph-mds-fail-command")</f>
        <v/>
      </c>
    </row>
    <row r="1340" ht="18" customHeight="1">
      <c r="A1340" s="8" t="inlineStr">
        <is>
          <t>20.11.12</t>
        </is>
      </c>
      <c r="B1340" s="9" t="inlineStr">
        <is>
          <t xml:space="preserve">    Client features</t>
        </is>
      </c>
      <c r="C1340" s="10">
        <f>HYPERLINK("https://www.ibm.com/docs/en/storage-ceph/9.9.1?topic=cephfs-client-features","https://www.ibm.com/docs/en/storage-ceph/9.9.1?topic=cephfs-client-features")</f>
        <v/>
      </c>
    </row>
    <row r="1341" ht="18" customHeight="1">
      <c r="A1341" s="8" t="inlineStr">
        <is>
          <t>20.11.13</t>
        </is>
      </c>
      <c r="B1341" s="9" t="inlineStr">
        <is>
          <t xml:space="preserve">    CephFS client evictions</t>
        </is>
      </c>
      <c r="C1341" s="10">
        <f>HYPERLINK("https://www.ibm.com/docs/en/storage-ceph/9.9.1?topic=cephfs-client-evictions","https://www.ibm.com/docs/en/storage-ceph/9.9.1?topic=cephfs-client-evictions")</f>
        <v/>
      </c>
    </row>
    <row r="1342" ht="18" customHeight="1">
      <c r="A1342" s="8" t="inlineStr">
        <is>
          <t>20.11.14</t>
        </is>
      </c>
      <c r="B1342" s="9" t="inlineStr">
        <is>
          <t xml:space="preserve">    Blocklist CephFS clients</t>
        </is>
      </c>
      <c r="C1342" s="10">
        <f>HYPERLINK("https://www.ibm.com/docs/en/storage-ceph/9.9.1?topic=cephfs-blocklist-clients","https://www.ibm.com/docs/en/storage-ceph/9.9.1?topic=cephfs-blocklist-clients")</f>
        <v/>
      </c>
    </row>
    <row r="1343" ht="18" customHeight="1">
      <c r="A1343" s="8" t="inlineStr">
        <is>
          <t>20.11.15</t>
        </is>
      </c>
      <c r="B1343" s="9" t="inlineStr">
        <is>
          <t xml:space="preserve">    Manually evicting a CephFS client</t>
        </is>
      </c>
      <c r="C1343" s="10">
        <f>HYPERLINK("https://www.ibm.com/docs/en/storage-ceph/9.9.1?topic=cephfs-manually-evicting-client","https://www.ibm.com/docs/en/storage-ceph/9.9.1?topic=cephfs-manually-evicting-client")</f>
        <v/>
      </c>
    </row>
    <row r="1344" ht="18" customHeight="1">
      <c r="A1344" s="8" t="inlineStr">
        <is>
          <t>20.11.16</t>
        </is>
      </c>
      <c r="B1344" s="9" t="inlineStr">
        <is>
          <t xml:space="preserve">    Removing a CephFS client from the blocklist</t>
        </is>
      </c>
      <c r="C1344" s="10">
        <f>HYPERLINK("https://www.ibm.com/docs/en/storage-ceph/9.9.1?topic=cephfs-removing-client-from-blocklist","https://www.ibm.com/docs/en/storage-ceph/9.9.1?topic=cephfs-removing-client-from-blocklist")</f>
        <v/>
      </c>
    </row>
    <row r="1345" ht="18" customHeight="1">
      <c r="A1345" s="5" t="inlineStr">
        <is>
          <t>20.12</t>
        </is>
      </c>
      <c r="B1345" s="6" t="inlineStr">
        <is>
          <t xml:space="preserve">  Disabling volumes plug-in</t>
        </is>
      </c>
      <c r="C1345" s="7">
        <f>HYPERLINK("https://www.ibm.com/docs/en/storage-ceph/9.9.1?topic=systems-disabling-volumes-plug-in","https://www.ibm.com/docs/en/storage-ceph/9.9.1?topic=systems-disabling-volumes-plug-in")</f>
        <v/>
      </c>
    </row>
    <row r="1346" ht="18" customHeight="1">
      <c r="A1346" s="5" t="inlineStr">
        <is>
          <t>20.13</t>
        </is>
      </c>
      <c r="B1346" s="6" t="inlineStr">
        <is>
          <t xml:space="preserve">  CephFS subvolume quiesce</t>
        </is>
      </c>
      <c r="C1346" s="7">
        <f>HYPERLINK("https://www.ibm.com/docs/en/storage-ceph/9.9.1?topic=systems-cephfs-subvolume-quiesce","https://www.ibm.com/docs/en/storage-ceph/9.9.1?topic=systems-cephfs-subvolume-quiesce")</f>
        <v/>
      </c>
    </row>
    <row r="1347" ht="18" customHeight="1">
      <c r="A1347" s="8" t="inlineStr">
        <is>
          <t>20.13.1</t>
        </is>
      </c>
      <c r="B1347" s="9" t="inlineStr">
        <is>
          <t xml:space="preserve">    CephFS subvolume quiesce parameters</t>
        </is>
      </c>
      <c r="C1347" s="10">
        <f>HYPERLINK("https://www.ibm.com/docs/en/storage-ceph/9.9.1?topic=quiesce-cephfs-subvolume-parameters","https://www.ibm.com/docs/en/storage-ceph/9.9.1?topic=quiesce-cephfs-subvolume-parameters")</f>
        <v/>
      </c>
    </row>
    <row r="1348" ht="18" customHeight="1">
      <c r="A1348" s="5" t="inlineStr">
        <is>
          <t>20.14</t>
        </is>
      </c>
      <c r="B1348" s="6" t="inlineStr">
        <is>
          <t xml:space="preserve">  CephFS quotas</t>
        </is>
      </c>
      <c r="C1348" s="7">
        <f>HYPERLINK("https://www.ibm.com/docs/en/storage-ceph/9.9.1?topic=systems-cephfs-quotas","https://www.ibm.com/docs/en/storage-ceph/9.9.1?topic=systems-cephfs-quotas")</f>
        <v/>
      </c>
    </row>
    <row r="1349" ht="18" customHeight="1">
      <c r="A1349" s="8" t="inlineStr">
        <is>
          <t>20.14.1</t>
        </is>
      </c>
      <c r="B1349" s="9" t="inlineStr">
        <is>
          <t xml:space="preserve">    Viewing quotas</t>
        </is>
      </c>
      <c r="C1349" s="10">
        <f>HYPERLINK("https://www.ibm.com/docs/en/storage-ceph/9.9.1?topic=quotas-viewing","https://www.ibm.com/docs/en/storage-ceph/9.9.1?topic=quotas-viewing")</f>
        <v/>
      </c>
    </row>
    <row r="1350" ht="18" customHeight="1">
      <c r="A1350" s="8" t="inlineStr">
        <is>
          <t>20.14.2</t>
        </is>
      </c>
      <c r="B1350" s="9" t="inlineStr">
        <is>
          <t xml:space="preserve">    Setting quotas</t>
        </is>
      </c>
      <c r="C1350" s="10">
        <f>HYPERLINK("https://www.ibm.com/docs/en/storage-ceph/9.9.1?topic=quotas-setting","https://www.ibm.com/docs/en/storage-ceph/9.9.1?topic=quotas-setting")</f>
        <v/>
      </c>
    </row>
    <row r="1351" ht="18" customHeight="1">
      <c r="A1351" s="8" t="inlineStr">
        <is>
          <t>20.14.3</t>
        </is>
      </c>
      <c r="B1351" s="9" t="inlineStr">
        <is>
          <t xml:space="preserve">    Removing quotas</t>
        </is>
      </c>
      <c r="C1351" s="10">
        <f>HYPERLINK("https://www.ibm.com/docs/en/storage-ceph/9.9.1?topic=quotas-removing","https://www.ibm.com/docs/en/storage-ceph/9.9.1?topic=quotas-removing")</f>
        <v/>
      </c>
    </row>
    <row r="1352" ht="18" customHeight="1">
      <c r="A1352" s="5" t="inlineStr">
        <is>
          <t>20.15</t>
        </is>
      </c>
      <c r="B1352" s="6" t="inlineStr">
        <is>
          <t xml:space="preserve">  File and directory layouts</t>
        </is>
      </c>
      <c r="C1352" s="7">
        <f>HYPERLINK("https://www.ibm.com/docs/en/storage-ceph/9.9.1?topic=systems-file-directory-layouts","https://www.ibm.com/docs/en/storage-ceph/9.9.1?topic=systems-file-directory-layouts")</f>
        <v/>
      </c>
    </row>
    <row r="1353" ht="18" customHeight="1">
      <c r="A1353" s="8" t="inlineStr">
        <is>
          <t>20.15.1</t>
        </is>
      </c>
      <c r="B1353" s="9" t="inlineStr">
        <is>
          <t xml:space="preserve">    Setting file and directory layout fields</t>
        </is>
      </c>
      <c r="C1353" s="10">
        <f>HYPERLINK("https://www.ibm.com/docs/en/storage-ceph/9.9.1?topic=layouts-setting-file-directory-layout-fields","https://www.ibm.com/docs/en/storage-ceph/9.9.1?topic=layouts-setting-file-directory-layout-fields")</f>
        <v/>
      </c>
    </row>
    <row r="1354" ht="18" customHeight="1">
      <c r="A1354" s="8" t="inlineStr">
        <is>
          <t>20.15.2</t>
        </is>
      </c>
      <c r="B1354" s="9" t="inlineStr">
        <is>
          <t xml:space="preserve">    Viewing file and directory layout fields</t>
        </is>
      </c>
      <c r="C1354" s="10">
        <f>HYPERLINK("https://www.ibm.com/docs/en/storage-ceph/9.9.1?topic=layouts-viewing-file-directory-layout-fields","https://www.ibm.com/docs/en/storage-ceph/9.9.1?topic=layouts-viewing-file-directory-layout-fields")</f>
        <v/>
      </c>
    </row>
    <row r="1355" ht="18" customHeight="1">
      <c r="A1355" s="8" t="inlineStr">
        <is>
          <t>20.15.3</t>
        </is>
      </c>
      <c r="B1355" s="9" t="inlineStr">
        <is>
          <t xml:space="preserve">    Viewing individual layout fields</t>
        </is>
      </c>
      <c r="C1355" s="10">
        <f>HYPERLINK("https://www.ibm.com/docs/en/storage-ceph/9.9.1?topic=layouts-viewing-individual-layout-fields","https://www.ibm.com/docs/en/storage-ceph/9.9.1?topic=layouts-viewing-individual-layout-fields")</f>
        <v/>
      </c>
    </row>
    <row r="1356" ht="18" customHeight="1">
      <c r="A1356" s="8" t="inlineStr">
        <is>
          <t>20.15.4</t>
        </is>
      </c>
      <c r="B1356" s="9" t="inlineStr">
        <is>
          <t xml:space="preserve">    Removing directory layouts</t>
        </is>
      </c>
      <c r="C1356" s="10">
        <f>HYPERLINK("https://www.ibm.com/docs/en/storage-ceph/9.9.1?topic=layouts-removing-directory","https://www.ibm.com/docs/en/storage-ceph/9.9.1?topic=layouts-removing-directory")</f>
        <v/>
      </c>
    </row>
    <row r="1357" ht="18" customHeight="1">
      <c r="A1357" s="5" t="inlineStr">
        <is>
          <t>20.16</t>
        </is>
      </c>
      <c r="B1357" s="6" t="inlineStr">
        <is>
          <t xml:space="preserve">  CephFS snapshots</t>
        </is>
      </c>
      <c r="C1357" s="7">
        <f>HYPERLINK("https://www.ibm.com/docs/en/storage-ceph/9.9.1?topic=systems-cephfs-snapshots","https://www.ibm.com/docs/en/storage-ceph/9.9.1?topic=systems-cephfs-snapshots")</f>
        <v/>
      </c>
    </row>
    <row r="1358" ht="18" customHeight="1">
      <c r="A1358" s="8" t="inlineStr">
        <is>
          <t>20.16.1</t>
        </is>
      </c>
      <c r="B1358" s="9" t="inlineStr">
        <is>
          <t xml:space="preserve">    Creating a snapshot for a Ceph File System</t>
        </is>
      </c>
      <c r="C1358" s="10">
        <f>HYPERLINK("https://www.ibm.com/docs/en/storage-ceph/9.9.1?topic=snapshots-creating-snapshot-ceph-file-system","https://www.ibm.com/docs/en/storage-ceph/9.9.1?topic=snapshots-creating-snapshot-ceph-file-system")</f>
        <v/>
      </c>
    </row>
    <row r="1359" ht="18" customHeight="1">
      <c r="A1359" s="8" t="inlineStr">
        <is>
          <t>20.16.2</t>
        </is>
      </c>
      <c r="B1359" s="9" t="inlineStr">
        <is>
          <t xml:space="preserve">    Cloning subvolumes from snapshots</t>
        </is>
      </c>
      <c r="C1359" s="10">
        <f>HYPERLINK("https://www.ibm.com/docs/en/storage-ceph/9.9.1?topic=snapshots-cloning-subvolumes-from","https://www.ibm.com/docs/en/storage-ceph/9.9.1?topic=snapshots-cloning-subvolumes-from")</f>
        <v/>
      </c>
    </row>
    <row r="1360" ht="18" customHeight="1">
      <c r="A1360" s="5" t="inlineStr">
        <is>
          <t>20.17</t>
        </is>
      </c>
      <c r="B1360" s="6" t="inlineStr">
        <is>
          <t xml:space="preserve">  CephFS snapshot schedules</t>
        </is>
      </c>
      <c r="C1360" s="7">
        <f>HYPERLINK("https://www.ibm.com/docs/en/storage-ceph/9.9.1?topic=systems-cephfs-snapshot-schedules","https://www.ibm.com/docs/en/storage-ceph/9.9.1?topic=systems-cephfs-snapshot-schedules")</f>
        <v/>
      </c>
    </row>
    <row r="1361" ht="18" customHeight="1">
      <c r="A1361" s="8" t="inlineStr">
        <is>
          <t>20.17.1</t>
        </is>
      </c>
      <c r="B1361" s="9" t="inlineStr">
        <is>
          <t xml:space="preserve">    Adding a snapshot schedule for a CephFS</t>
        </is>
      </c>
      <c r="C1361" s="10">
        <f>HYPERLINK("https://www.ibm.com/docs/en/storage-ceph/9.9.1?topic=schedules-adding-snapshot-schedule-cephfs","https://www.ibm.com/docs/en/storage-ceph/9.9.1?topic=schedules-adding-snapshot-schedule-cephfs")</f>
        <v/>
      </c>
    </row>
    <row r="1362" ht="18" customHeight="1">
      <c r="A1362" s="8" t="inlineStr">
        <is>
          <t>20.17.2</t>
        </is>
      </c>
      <c r="B1362" s="9" t="inlineStr">
        <is>
          <t xml:space="preserve">    Adding a snapshot schedule for CephFS subvolume</t>
        </is>
      </c>
      <c r="C1362" s="10">
        <f>HYPERLINK("https://www.ibm.com/docs/en/storage-ceph/9.9.1?topic=schedules-adding-snapshot-schedule-cephfs-subvolume","https://www.ibm.com/docs/en/storage-ceph/9.9.1?topic=schedules-adding-snapshot-schedule-cephfs-subvolume")</f>
        <v/>
      </c>
    </row>
    <row r="1363" ht="18" customHeight="1">
      <c r="A1363" s="8" t="inlineStr">
        <is>
          <t>20.17.3</t>
        </is>
      </c>
      <c r="B1363" s="9" t="inlineStr">
        <is>
          <t xml:space="preserve">    Activating snapshot schedule for a CephFS</t>
        </is>
      </c>
      <c r="C1363" s="10">
        <f>HYPERLINK("https://www.ibm.com/docs/en/storage-ceph/9.9.1?topic=schedules-activating-snapshot-schedule-cephfs","https://www.ibm.com/docs/en/storage-ceph/9.9.1?topic=schedules-activating-snapshot-schedule-cephfs")</f>
        <v/>
      </c>
    </row>
    <row r="1364" ht="18" customHeight="1">
      <c r="A1364" s="8" t="inlineStr">
        <is>
          <t>20.17.4</t>
        </is>
      </c>
      <c r="B1364" s="9" t="inlineStr">
        <is>
          <t xml:space="preserve">    Activating snapshot schedule for a CephFS subvolume</t>
        </is>
      </c>
      <c r="C1364" s="10">
        <f>HYPERLINK("https://www.ibm.com/docs/en/storage-ceph/9.9.1?topic=schedules-activating-snapshot-schedule-cephfs-subvolume","https://www.ibm.com/docs/en/storage-ceph/9.9.1?topic=schedules-activating-snapshot-schedule-cephfs-subvolume")</f>
        <v/>
      </c>
    </row>
    <row r="1365" ht="18" customHeight="1">
      <c r="A1365" s="8" t="inlineStr">
        <is>
          <t>20.17.5</t>
        </is>
      </c>
      <c r="B1365" s="9" t="inlineStr">
        <is>
          <t xml:space="preserve">    Deactivating snapshot schedule for a CephFS</t>
        </is>
      </c>
      <c r="C1365" s="10">
        <f>HYPERLINK("https://www.ibm.com/docs/en/storage-ceph/9.9.1?topic=schedules-deactivating-snapshot-schedule-cephfs","https://www.ibm.com/docs/en/storage-ceph/9.9.1?topic=schedules-deactivating-snapshot-schedule-cephfs")</f>
        <v/>
      </c>
    </row>
    <row r="1366" ht="18" customHeight="1">
      <c r="A1366" s="8" t="inlineStr">
        <is>
          <t>20.17.6</t>
        </is>
      </c>
      <c r="B1366" s="9" t="inlineStr">
        <is>
          <t xml:space="preserve">    Deactivating snapshot schedule for a CephFS subvolume</t>
        </is>
      </c>
      <c r="C1366" s="10">
        <f>HYPERLINK("https://www.ibm.com/docs/en/storage-ceph/9.9.1?topic=schedules-deactivating-snapshot-schedule-cephfs-subvolume","https://www.ibm.com/docs/en/storage-ceph/9.9.1?topic=schedules-deactivating-snapshot-schedule-cephfs-subvolume")</f>
        <v/>
      </c>
    </row>
    <row r="1367" ht="18" customHeight="1">
      <c r="A1367" s="8" t="inlineStr">
        <is>
          <t>20.17.7</t>
        </is>
      </c>
      <c r="B1367" s="9" t="inlineStr">
        <is>
          <t xml:space="preserve">    Removing a snapshot schedule for a CephFS</t>
        </is>
      </c>
      <c r="C1367" s="10">
        <f>HYPERLINK("https://www.ibm.com/docs/en/storage-ceph/9.9.1?topic=schedules-removing-snapshot-schedule-cephfs","https://www.ibm.com/docs/en/storage-ceph/9.9.1?topic=schedules-removing-snapshot-schedule-cephfs")</f>
        <v/>
      </c>
    </row>
    <row r="1368" ht="18" customHeight="1">
      <c r="A1368" s="8" t="inlineStr">
        <is>
          <t>20.17.8</t>
        </is>
      </c>
      <c r="B1368" s="9" t="inlineStr">
        <is>
          <t xml:space="preserve">    Removing a snapshot schedule for a CephFS subvolume</t>
        </is>
      </c>
      <c r="C1368" s="10">
        <f>HYPERLINK("https://www.ibm.com/docs/en/storage-ceph/9.9.1?topic=schedules-removing-snapshot-schedule-cephfs-subvolume","https://www.ibm.com/docs/en/storage-ceph/9.9.1?topic=schedules-removing-snapshot-schedule-cephfs-subvolume")</f>
        <v/>
      </c>
    </row>
    <row r="1369" ht="18" customHeight="1">
      <c r="A1369" s="8" t="inlineStr">
        <is>
          <t>20.17.9</t>
        </is>
      </c>
      <c r="B1369" s="9" t="inlineStr">
        <is>
          <t xml:space="preserve">    Removing snapshot schedule retention policy for a CephFS</t>
        </is>
      </c>
      <c r="C1369" s="10">
        <f>HYPERLINK("https://www.ibm.com/docs/en/storage-ceph/9.9.1?topic=schedules-removing-snapshot-schedule-retention-policy-cephfs","https://www.ibm.com/docs/en/storage-ceph/9.9.1?topic=schedules-removing-snapshot-schedule-retention-policy-cephfs")</f>
        <v/>
      </c>
    </row>
    <row r="1370" ht="18" customHeight="1">
      <c r="A1370" s="8" t="inlineStr">
        <is>
          <t>20.17.10</t>
        </is>
      </c>
      <c r="B1370" s="9" t="inlineStr">
        <is>
          <t xml:space="preserve">    Removing snapshot schedule retention policy for a CephFS subvolume</t>
        </is>
      </c>
      <c r="C1370" s="10">
        <f>HYPERLINK("https://www.ibm.com/docs/en/storage-ceph/9.9.1?topic=schedules-removing-snapshot-schedule-retention-policy-cephfs-subvolume","https://www.ibm.com/docs/en/storage-ceph/9.9.1?topic=schedules-removing-snapshot-schedule-retention-policy-cephfs-subvolume")</f>
        <v/>
      </c>
    </row>
    <row r="1371" ht="18" customHeight="1">
      <c r="A1371" s="5" t="inlineStr">
        <is>
          <t>20.18</t>
        </is>
      </c>
      <c r="B1371" s="6" t="inlineStr">
        <is>
          <t xml:space="preserve">  CephFS snapshot mirroring (Technology Preview)</t>
        </is>
      </c>
      <c r="C1371" s="7">
        <f>HYPERLINK("https://www.ibm.com/docs/en/storage-ceph/9.9.1?topic=systems-cephfs-snapshot-mirroring-technology-preview","https://www.ibm.com/docs/en/storage-ceph/9.9.1?topic=systems-cephfs-snapshot-mirroring-technology-preview")</f>
        <v/>
      </c>
    </row>
    <row r="1372" ht="18" customHeight="1">
      <c r="A1372" s="8" t="inlineStr">
        <is>
          <t>20.18.1</t>
        </is>
      </c>
      <c r="B1372" s="9" t="inlineStr">
        <is>
          <t xml:space="preserve">    Configuring a snapshot mirror for a Ceph File System</t>
        </is>
      </c>
      <c r="C1372" s="10">
        <f>HYPERLINK("https://www.ibm.com/docs/en/storage-ceph/9.9.1?topic=preview-configuring-snapshot-mirror-ceph-file-system","https://www.ibm.com/docs/en/storage-ceph/9.9.1?topic=preview-configuring-snapshot-mirror-ceph-file-system")</f>
        <v/>
      </c>
    </row>
    <row r="1373" ht="18" customHeight="1">
      <c r="A1373" s="8" t="inlineStr">
        <is>
          <t>20.18.2</t>
        </is>
      </c>
      <c r="B1373" s="9" t="inlineStr">
        <is>
          <t xml:space="preserve">    Viewing the mirror status for a Ceph File System</t>
        </is>
      </c>
      <c r="C1373" s="10">
        <f>HYPERLINK("https://www.ibm.com/docs/en/storage-ceph/9.9.1?topic=preview-viewing-mirror-status-ceph-file-system","https://www.ibm.com/docs/en/storage-ceph/9.9.1?topic=preview-viewing-mirror-status-ceph-file-system")</f>
        <v/>
      </c>
    </row>
    <row r="1374" ht="18" customHeight="1">
      <c r="A1374" s="8" t="inlineStr">
        <is>
          <t>20.18.3</t>
        </is>
      </c>
      <c r="B1374" s="9" t="inlineStr">
        <is>
          <t xml:space="preserve">    Viewing metrics for Ceph File System snapshot mirroring</t>
        </is>
      </c>
      <c r="C1374" s="10">
        <f>HYPERLINK("https://www.ibm.com/docs/en/storage-ceph/9.9.1?topic=preview-viewing-metrics-ceph-file-system-snapshot-mirroring","https://www.ibm.com/docs/en/storage-ceph/9.9.1?topic=preview-viewing-metrics-ceph-file-system-snapshot-mirroring")</f>
        <v/>
      </c>
    </row>
    <row r="1375" ht="18" customHeight="1">
      <c r="A1375" s="5" t="inlineStr">
        <is>
          <t>20.19</t>
        </is>
      </c>
      <c r="B1375" s="6" t="inlineStr">
        <is>
          <t xml:space="preserve">  Snapshot visibility for CephFS and NFS clients</t>
        </is>
      </c>
      <c r="C1375" s="7">
        <f>HYPERLINK("https://www.ibm.com/docs/en/storage-ceph/9.9.1?topic=systems-snapshot-visibility-cephfs-nfs-clients","https://www.ibm.com/docs/en/storage-ceph/9.9.1?topic=systems-snapshot-visibility-cephfs-nfs-clients")</f>
        <v/>
      </c>
    </row>
    <row r="1376" ht="18" customHeight="1">
      <c r="A1376" s="8" t="inlineStr">
        <is>
          <t>20.19.1</t>
        </is>
      </c>
      <c r="B1376" s="9" t="inlineStr">
        <is>
          <t xml:space="preserve">    Configure snapshot (.snap) visibility for CephFS NFS shares</t>
        </is>
      </c>
      <c r="C1376" s="10">
        <f>HYPERLINK("https://www.ibm.com/docs/en/storage-ceph/9.9.1?topic=clients-configure-snapshot-snap-visibility-cephfs-nfs-shares","https://www.ibm.com/docs/en/storage-ceph/9.9.1?topic=clients-configure-snapshot-snap-visibility-cephfs-nfs-shares")</f>
        <v/>
      </c>
    </row>
    <row r="1377" ht="18" customHeight="1">
      <c r="A1377" s="8" t="inlineStr">
        <is>
          <t>20.19.2</t>
        </is>
      </c>
      <c r="B1377" s="9" t="inlineStr">
        <is>
          <t xml:space="preserve">    Disable snapshot visibility on a subvolume</t>
        </is>
      </c>
      <c r="C1377" s="10">
        <f>HYPERLINK("https://www.ibm.com/docs/en/storage-ceph/9.9.1?topic=clients-disable-snapshot-visibility-subvolume","https://www.ibm.com/docs/en/storage-ceph/9.9.1?topic=clients-disable-snapshot-visibility-subvolume")</f>
        <v/>
      </c>
    </row>
    <row r="1378" ht="18" customHeight="1">
      <c r="A1378" s="2" t="inlineStr">
        <is>
          <t>21</t>
        </is>
      </c>
      <c r="B1378" s="3" t="inlineStr">
        <is>
          <t>Ceph Block Devices</t>
        </is>
      </c>
      <c r="C1378" s="4">
        <f>HYPERLINK("https://www.ibm.com/docs/en/storage-ceph/9.9.1?topic=ceph-block-devices","https://www.ibm.com/docs/en/storage-ceph/9.9.1?topic=ceph-block-devices")</f>
        <v/>
      </c>
    </row>
    <row r="1379" ht="18" customHeight="1">
      <c r="A1379" s="5" t="inlineStr">
        <is>
          <t>21.1</t>
        </is>
      </c>
      <c r="B1379" s="6" t="inlineStr">
        <is>
          <t xml:space="preserve">  Using Ceph Block Devices</t>
        </is>
      </c>
      <c r="C1379" s="7">
        <f>HYPERLINK("https://www.ibm.com/docs/en/storage-ceph/9.9.1?topic=devices-using-ceph-block","https://www.ibm.com/docs/en/storage-ceph/9.9.1?topic=devices-using-ceph-block")</f>
        <v/>
      </c>
    </row>
    <row r="1380" ht="18" customHeight="1">
      <c r="A1380" s="8" t="inlineStr">
        <is>
          <t>21.1.1</t>
        </is>
      </c>
      <c r="B1380" s="9" t="inlineStr">
        <is>
          <t xml:space="preserve">    Displaying command help</t>
        </is>
      </c>
      <c r="C1380" s="10">
        <f>HYPERLINK("https://www.ibm.com/docs/en/storage-ceph/9.9.1?topic=devices-displaying-command-help","https://www.ibm.com/docs/en/storage-ceph/9.9.1?topic=devices-displaying-command-help")</f>
        <v/>
      </c>
    </row>
    <row r="1381" ht="18" customHeight="1">
      <c r="A1381" s="8" t="inlineStr">
        <is>
          <t>21.1.2</t>
        </is>
      </c>
      <c r="B1381" s="9" t="inlineStr">
        <is>
          <t xml:space="preserve">    Creating block device pools</t>
        </is>
      </c>
      <c r="C1381" s="10">
        <f>HYPERLINK("https://www.ibm.com/docs/en/storage-ceph/9.9.1?topic=devices-creating-block-device-pools","https://www.ibm.com/docs/en/storage-ceph/9.9.1?topic=devices-creating-block-device-pools")</f>
        <v/>
      </c>
    </row>
    <row r="1382" ht="18" customHeight="1">
      <c r="A1382" s="8" t="inlineStr">
        <is>
          <t>21.1.3</t>
        </is>
      </c>
      <c r="B1382" s="9" t="inlineStr">
        <is>
          <t xml:space="preserve">    Creating images</t>
        </is>
      </c>
      <c r="C1382" s="10">
        <f>HYPERLINK("https://www.ibm.com/docs/en/storage-ceph/9.9.1?topic=devices-creating-images","https://www.ibm.com/docs/en/storage-ceph/9.9.1?topic=devices-creating-images")</f>
        <v/>
      </c>
    </row>
    <row r="1383" ht="18" customHeight="1">
      <c r="A1383" s="8" t="inlineStr">
        <is>
          <t>21.1.4</t>
        </is>
      </c>
      <c r="B1383" s="9" t="inlineStr">
        <is>
          <t xml:space="preserve">    Listing images</t>
        </is>
      </c>
      <c r="C1383" s="10">
        <f>HYPERLINK("https://www.ibm.com/docs/en/storage-ceph/9.9.1?topic=devices-listing-images","https://www.ibm.com/docs/en/storage-ceph/9.9.1?topic=devices-listing-images")</f>
        <v/>
      </c>
    </row>
    <row r="1384" ht="18" customHeight="1">
      <c r="A1384" s="8" t="inlineStr">
        <is>
          <t>21.1.5</t>
        </is>
      </c>
      <c r="B1384" s="9" t="inlineStr">
        <is>
          <t xml:space="preserve">    Retrieving image information</t>
        </is>
      </c>
      <c r="C1384" s="10">
        <f>HYPERLINK("https://www.ibm.com/docs/en/storage-ceph/9.9.1?topic=devices-retrieving-image-information","https://www.ibm.com/docs/en/storage-ceph/9.9.1?topic=devices-retrieving-image-information")</f>
        <v/>
      </c>
    </row>
    <row r="1385" ht="18" customHeight="1">
      <c r="A1385" s="8" t="inlineStr">
        <is>
          <t>21.1.6</t>
        </is>
      </c>
      <c r="B1385" s="9" t="inlineStr">
        <is>
          <t xml:space="preserve">    Resizing images</t>
        </is>
      </c>
      <c r="C1385" s="10">
        <f>HYPERLINK("https://www.ibm.com/docs/en/storage-ceph/9.9.1?topic=devices-resizing-images","https://www.ibm.com/docs/en/storage-ceph/9.9.1?topic=devices-resizing-images")</f>
        <v/>
      </c>
    </row>
    <row r="1386" ht="18" customHeight="1">
      <c r="A1386" s="8" t="inlineStr">
        <is>
          <t>21.1.7</t>
        </is>
      </c>
      <c r="B1386" s="9" t="inlineStr">
        <is>
          <t xml:space="preserve">    Removing images</t>
        </is>
      </c>
      <c r="C1386" s="10">
        <f>HYPERLINK("https://www.ibm.com/docs/en/storage-ceph/9.9.1?topic=devices-removing-images","https://www.ibm.com/docs/en/storage-ceph/9.9.1?topic=devices-removing-images")</f>
        <v/>
      </c>
    </row>
    <row r="1387" ht="18" customHeight="1">
      <c r="A1387" s="8" t="inlineStr">
        <is>
          <t>21.1.8</t>
        </is>
      </c>
      <c r="B1387" s="9" t="inlineStr">
        <is>
          <t xml:space="preserve">    Moving images to trash</t>
        </is>
      </c>
      <c r="C1387" s="10">
        <f>HYPERLINK("https://www.ibm.com/docs/en/storage-ceph/9.9.1?topic=devices-moving-images-trash","https://www.ibm.com/docs/en/storage-ceph/9.9.1?topic=devices-moving-images-trash")</f>
        <v/>
      </c>
    </row>
    <row r="1388" ht="18" customHeight="1">
      <c r="A1388" s="8" t="inlineStr">
        <is>
          <t>21.1.9</t>
        </is>
      </c>
      <c r="B1388" s="9" t="inlineStr">
        <is>
          <t xml:space="preserve">    Schedule automatic trash purge</t>
        </is>
      </c>
      <c r="C1388" s="10">
        <f>HYPERLINK("https://www.ibm.com/docs/en/storage-ceph/9.9.1?topic=devices-schedule-automatic-trash-purge","https://www.ibm.com/docs/en/storage-ceph/9.9.1?topic=devices-schedule-automatic-trash-purge")</f>
        <v/>
      </c>
    </row>
    <row r="1389" ht="18" customHeight="1">
      <c r="A1389" s="8" t="inlineStr">
        <is>
          <t>21.1.10</t>
        </is>
      </c>
      <c r="B1389" s="9" t="inlineStr">
        <is>
          <t xml:space="preserve">    Enabling and disabling image features</t>
        </is>
      </c>
      <c r="C1389" s="10">
        <f>HYPERLINK("https://www.ibm.com/docs/en/storage-ceph/9.9.1?topic=devices-enabling-disabling-image-features","https://www.ibm.com/docs/en/storage-ceph/9.9.1?topic=devices-enabling-disabling-image-features")</f>
        <v/>
      </c>
    </row>
    <row r="1390" ht="18" customHeight="1">
      <c r="A1390" s="8" t="inlineStr">
        <is>
          <t>21.1.11</t>
        </is>
      </c>
      <c r="B1390" s="9" t="inlineStr">
        <is>
          <t xml:space="preserve">    Working with image metadata</t>
        </is>
      </c>
      <c r="C1390" s="10">
        <f>HYPERLINK("https://www.ibm.com/docs/en/storage-ceph/9.9.1?topic=devices-working-image-metadata","https://www.ibm.com/docs/en/storage-ceph/9.9.1?topic=devices-working-image-metadata")</f>
        <v/>
      </c>
    </row>
    <row r="1391" ht="18" customHeight="1">
      <c r="A1391" s="8" t="inlineStr">
        <is>
          <t>21.1.12</t>
        </is>
      </c>
      <c r="B1391" s="9" t="inlineStr">
        <is>
          <t xml:space="preserve">    Moving images between pools</t>
        </is>
      </c>
      <c r="C1391" s="10">
        <f>HYPERLINK("https://www.ibm.com/docs/en/storage-ceph/9.9.1?topic=devices-moving-images-between-pools","https://www.ibm.com/docs/en/storage-ceph/9.9.1?topic=devices-moving-images-between-pools")</f>
        <v/>
      </c>
    </row>
    <row r="1392" ht="18" customHeight="1">
      <c r="A1392" s="8" t="inlineStr">
        <is>
          <t>21.1.13</t>
        </is>
      </c>
      <c r="B1392" s="9" t="inlineStr">
        <is>
          <t xml:space="preserve">    Migrating pools</t>
        </is>
      </c>
      <c r="C1392" s="10">
        <f>HYPERLINK("https://www.ibm.com/docs/en/storage-ceph/9.9.1?topic=devices-migrating-pools","https://www.ibm.com/docs/en/storage-ceph/9.9.1?topic=devices-migrating-pools")</f>
        <v/>
      </c>
    </row>
    <row r="1393" ht="18" customHeight="1">
      <c r="A1393" s="8" t="inlineStr">
        <is>
          <t>21.1.14</t>
        </is>
      </c>
      <c r="B1393" s="9" t="inlineStr">
        <is>
          <t xml:space="preserve">    rbdmap service</t>
        </is>
      </c>
      <c r="C1393" s="10">
        <f>HYPERLINK("https://www.ibm.com/docs/en/storage-ceph/9.9.1?topic=devices-rbdmap-service","https://www.ibm.com/docs/en/storage-ceph/9.9.1?topic=devices-rbdmap-service")</f>
        <v/>
      </c>
    </row>
    <row r="1394" ht="18" customHeight="1">
      <c r="A1394" s="8" t="inlineStr">
        <is>
          <t>21.1.15</t>
        </is>
      </c>
      <c r="B1394" s="9" t="inlineStr">
        <is>
          <t xml:space="preserve">    Configuring rbdmap service</t>
        </is>
      </c>
      <c r="C1394" s="10">
        <f>HYPERLINK("https://www.ibm.com/docs/en/storage-ceph/9.9.1?topic=devices-configuring-rbdmap-service","https://www.ibm.com/docs/en/storage-ceph/9.9.1?topic=devices-configuring-rbdmap-service")</f>
        <v/>
      </c>
    </row>
    <row r="1395" ht="18" customHeight="1">
      <c r="A1395" s="8" t="inlineStr">
        <is>
          <t>21.1.16</t>
        </is>
      </c>
      <c r="B1395" s="9" t="inlineStr">
        <is>
          <t xml:space="preserve">    Persistent write log cache</t>
        </is>
      </c>
      <c r="C1395" s="10">
        <f>HYPERLINK("https://www.ibm.com/docs/en/storage-ceph/9.9.1?topic=devices-persistent-write-log-cache","https://www.ibm.com/docs/en/storage-ceph/9.9.1?topic=devices-persistent-write-log-cache")</f>
        <v/>
      </c>
    </row>
    <row r="1396" ht="18" customHeight="1">
      <c r="A1396" s="8" t="inlineStr">
        <is>
          <t>21.1.16.1</t>
        </is>
      </c>
      <c r="B1396" s="9" t="inlineStr">
        <is>
          <t xml:space="preserve">      Limitations</t>
        </is>
      </c>
      <c r="C1396" s="10">
        <f>HYPERLINK("https://www.ibm.com/docs/en/storage-ceph/9.9.1?topic=cache-limitations","https://www.ibm.com/docs/en/storage-ceph/9.9.1?topic=cache-limitations")</f>
        <v/>
      </c>
    </row>
    <row r="1397" ht="18" customHeight="1">
      <c r="A1397" s="8" t="inlineStr">
        <is>
          <t>21.1.16.2</t>
        </is>
      </c>
      <c r="B1397" s="9" t="inlineStr">
        <is>
          <t xml:space="preserve">      Enabling</t>
        </is>
      </c>
      <c r="C1397" s="10">
        <f>HYPERLINK("https://www.ibm.com/docs/en/storage-ceph/9.9.1?topic=cache-enabling","https://www.ibm.com/docs/en/storage-ceph/9.9.1?topic=cache-enabling")</f>
        <v/>
      </c>
    </row>
    <row r="1398" ht="18" customHeight="1">
      <c r="A1398" s="8" t="inlineStr">
        <is>
          <t>21.1.16.3</t>
        </is>
      </c>
      <c r="B1398" s="9" t="inlineStr">
        <is>
          <t xml:space="preserve">      Checking status</t>
        </is>
      </c>
      <c r="C1398" s="10">
        <f>HYPERLINK("https://www.ibm.com/docs/en/storage-ceph/9.9.1?topic=cache-checking-status","https://www.ibm.com/docs/en/storage-ceph/9.9.1?topic=cache-checking-status")</f>
        <v/>
      </c>
    </row>
    <row r="1399" ht="18" customHeight="1">
      <c r="A1399" s="8" t="inlineStr">
        <is>
          <t>21.1.16.4</t>
        </is>
      </c>
      <c r="B1399" s="9" t="inlineStr">
        <is>
          <t xml:space="preserve">      Flushing</t>
        </is>
      </c>
      <c r="C1399" s="10">
        <f>HYPERLINK("https://www.ibm.com/docs/en/storage-ceph/9.9.1?topic=cache-flushing","https://www.ibm.com/docs/en/storage-ceph/9.9.1?topic=cache-flushing")</f>
        <v/>
      </c>
    </row>
    <row r="1400" ht="18" customHeight="1">
      <c r="A1400" s="8" t="inlineStr">
        <is>
          <t>21.1.16.5</t>
        </is>
      </c>
      <c r="B1400" s="9" t="inlineStr">
        <is>
          <t xml:space="preserve">      Discarding</t>
        </is>
      </c>
      <c r="C1400" s="10">
        <f>HYPERLINK("https://www.ibm.com/docs/en/storage-ceph/9.9.1?topic=cache-discarding","https://www.ibm.com/docs/en/storage-ceph/9.9.1?topic=cache-discarding")</f>
        <v/>
      </c>
    </row>
    <row r="1401" ht="18" customHeight="1">
      <c r="A1401" s="8" t="inlineStr">
        <is>
          <t>21.1.17</t>
        </is>
      </c>
      <c r="B1401" s="9" t="inlineStr">
        <is>
          <t xml:space="preserve">    Managing Ceph Block Device namespaces</t>
        </is>
      </c>
      <c r="C1401" s="10">
        <f>HYPERLINK("https://www.ibm.com/docs/en/storage-ceph/9.9.1?topic=devices-managing-ceph-block-device-namespaces","https://www.ibm.com/docs/en/storage-ceph/9.9.1?topic=devices-managing-ceph-block-device-namespaces")</f>
        <v/>
      </c>
    </row>
    <row r="1402" ht="18" customHeight="1">
      <c r="A1402" s="8" t="inlineStr">
        <is>
          <t>21.1.18</t>
        </is>
      </c>
      <c r="B1402" s="9" t="inlineStr">
        <is>
          <t xml:space="preserve">    Monitoring performance of Ceph Block Devices</t>
        </is>
      </c>
      <c r="C1402" s="10">
        <f>HYPERLINK("https://www.ibm.com/docs/en/storage-ceph/9.9.1?topic=devices-monitoring-performance-ceph-block","https://www.ibm.com/docs/en/storage-ceph/9.9.1?topic=devices-monitoring-performance-ceph-block")</f>
        <v/>
      </c>
    </row>
    <row r="1403" ht="18" customHeight="1">
      <c r="A1403" s="8" t="inlineStr">
        <is>
          <t>21.1.19</t>
        </is>
      </c>
      <c r="B1403" s="9" t="inlineStr">
        <is>
          <t xml:space="preserve">    Ceph user and keyring</t>
        </is>
      </c>
      <c r="C1403" s="10">
        <f>HYPERLINK("https://www.ibm.com/docs/en/storage-ceph/9.9.1?topic=devices-ceph-user-keyring","https://www.ibm.com/docs/en/storage-ceph/9.9.1?topic=devices-ceph-user-keyring")</f>
        <v/>
      </c>
    </row>
    <row r="1404" ht="18" customHeight="1">
      <c r="A1404" s="5" t="inlineStr">
        <is>
          <t>21.2</t>
        </is>
      </c>
      <c r="B1404" s="6" t="inlineStr">
        <is>
          <t xml:space="preserve">  Live migration of images</t>
        </is>
      </c>
      <c r="C1404" s="7">
        <f>HYPERLINK("https://www.ibm.com/docs/en/storage-ceph/9.9.1?topic=devices-live-migration-images","https://www.ibm.com/docs/en/storage-ceph/9.9.1?topic=devices-live-migration-images")</f>
        <v/>
      </c>
    </row>
    <row r="1405" ht="18" customHeight="1">
      <c r="A1405" s="8" t="inlineStr">
        <is>
          <t>21.2.1</t>
        </is>
      </c>
      <c r="B1405" s="9" t="inlineStr">
        <is>
          <t xml:space="preserve">    Live migration formats</t>
        </is>
      </c>
      <c r="C1405" s="10">
        <f>HYPERLINK("https://www.ibm.com/docs/en/storage-ceph/9.9.1?topic=images-live-migration-formats","https://www.ibm.com/docs/en/storage-ceph/9.9.1?topic=images-live-migration-formats")</f>
        <v/>
      </c>
    </row>
    <row r="1406" ht="18" customHeight="1">
      <c r="A1406" s="8" t="inlineStr">
        <is>
          <t>21.2.2</t>
        </is>
      </c>
      <c r="B1406" s="9" t="inlineStr">
        <is>
          <t xml:space="preserve">    Live migration streams</t>
        </is>
      </c>
      <c r="C1406" s="10">
        <f>HYPERLINK("https://www.ibm.com/docs/en/storage-ceph/9.9.1?topic=images-live-migration-streams","https://www.ibm.com/docs/en/storage-ceph/9.9.1?topic=images-live-migration-streams")</f>
        <v/>
      </c>
    </row>
    <row r="1407" ht="18" customHeight="1">
      <c r="A1407" s="8" t="inlineStr">
        <is>
          <t>21.2.3</t>
        </is>
      </c>
      <c r="B1407" s="9" t="inlineStr">
        <is>
          <t xml:space="preserve">    Preparing for default live migration</t>
        </is>
      </c>
      <c r="C1407" s="10">
        <f>HYPERLINK("https://www.ibm.com/docs/en/storage-ceph/9.9.1?topic=images-preparing-default-live-migration","https://www.ibm.com/docs/en/storage-ceph/9.9.1?topic=images-preparing-default-live-migration")</f>
        <v/>
      </c>
    </row>
    <row r="1408" ht="18" customHeight="1">
      <c r="A1408" s="8" t="inlineStr">
        <is>
          <t>21.2.4</t>
        </is>
      </c>
      <c r="B1408" s="9" t="inlineStr">
        <is>
          <t xml:space="preserve">    Preparing import-only migration</t>
        </is>
      </c>
      <c r="C1408" s="10">
        <f>HYPERLINK("https://www.ibm.com/docs/en/storage-ceph/9.9.1?topic=images-preparing-import-only-migration","https://www.ibm.com/docs/en/storage-ceph/9.9.1?topic=images-preparing-import-only-migration")</f>
        <v/>
      </c>
    </row>
    <row r="1409" ht="18" customHeight="1">
      <c r="A1409" s="8" t="inlineStr">
        <is>
          <t>21.2.5</t>
        </is>
      </c>
      <c r="B1409" s="9" t="inlineStr">
        <is>
          <t xml:space="preserve">    Running the live migration</t>
        </is>
      </c>
      <c r="C1409" s="10">
        <f>HYPERLINK("https://www.ibm.com/docs/en/storage-ceph/9.9.1?topic=images-running-live-migration","https://www.ibm.com/docs/en/storage-ceph/9.9.1?topic=images-running-live-migration")</f>
        <v/>
      </c>
    </row>
    <row r="1410" ht="18" customHeight="1">
      <c r="A1410" s="8" t="inlineStr">
        <is>
          <t>21.2.6</t>
        </is>
      </c>
      <c r="B1410" s="9" t="inlineStr">
        <is>
          <t xml:space="preserve">    Committing the live migration</t>
        </is>
      </c>
      <c r="C1410" s="10">
        <f>HYPERLINK("https://www.ibm.com/docs/en/storage-ceph/9.9.1?topic=images-committing-live-migration","https://www.ibm.com/docs/en/storage-ceph/9.9.1?topic=images-committing-live-migration")</f>
        <v/>
      </c>
    </row>
    <row r="1411" ht="18" customHeight="1">
      <c r="A1411" s="8" t="inlineStr">
        <is>
          <t>21.2.7</t>
        </is>
      </c>
      <c r="B1411" s="9" t="inlineStr">
        <is>
          <t xml:space="preserve">    Stopping a live migration</t>
        </is>
      </c>
      <c r="C1411" s="10">
        <f>HYPERLINK("https://www.ibm.com/docs/en/storage-ceph/9.9.1?topic=images-stopping-live-migration","https://www.ibm.com/docs/en/storage-ceph/9.9.1?topic=images-stopping-live-migration")</f>
        <v/>
      </c>
    </row>
    <row r="1412" ht="18" customHeight="1">
      <c r="A1412" s="5" t="inlineStr">
        <is>
          <t>21.3</t>
        </is>
      </c>
      <c r="B1412" s="6" t="inlineStr">
        <is>
          <t xml:space="preserve">  Image encryption</t>
        </is>
      </c>
      <c r="C1412" s="7">
        <f>HYPERLINK("https://www.ibm.com/docs/en/storage-ceph/9.9.1?topic=devices-image-encryption","https://www.ibm.com/docs/en/storage-ceph/9.9.1?topic=devices-image-encryption")</f>
        <v/>
      </c>
    </row>
    <row r="1413" ht="18" customHeight="1">
      <c r="A1413" s="8" t="inlineStr">
        <is>
          <t>21.3.1</t>
        </is>
      </c>
      <c r="B1413" s="9" t="inlineStr">
        <is>
          <t xml:space="preserve">    Encryption format</t>
        </is>
      </c>
      <c r="C1413" s="10">
        <f>HYPERLINK("https://www.ibm.com/docs/en/storage-ceph/9.9.1?topic=encryption-format","https://www.ibm.com/docs/en/storage-ceph/9.9.1?topic=encryption-format")</f>
        <v/>
      </c>
    </row>
    <row r="1414" ht="18" customHeight="1">
      <c r="A1414" s="8" t="inlineStr">
        <is>
          <t>21.3.2</t>
        </is>
      </c>
      <c r="B1414" s="9" t="inlineStr">
        <is>
          <t xml:space="preserve">    Encryption load</t>
        </is>
      </c>
      <c r="C1414" s="10">
        <f>HYPERLINK("https://www.ibm.com/docs/en/storage-ceph/9.9.1?topic=encryption-load","https://www.ibm.com/docs/en/storage-ceph/9.9.1?topic=encryption-load")</f>
        <v/>
      </c>
    </row>
    <row r="1415" ht="18" customHeight="1">
      <c r="A1415" s="8" t="inlineStr">
        <is>
          <t>21.3.3</t>
        </is>
      </c>
      <c r="B1415" s="9" t="inlineStr">
        <is>
          <t xml:space="preserve">    Supported formats</t>
        </is>
      </c>
      <c r="C1415" s="10">
        <f>HYPERLINK("https://www.ibm.com/docs/en/storage-ceph/9.9.1?topic=encryption-supported-formats","https://www.ibm.com/docs/en/storage-ceph/9.9.1?topic=encryption-supported-formats")</f>
        <v/>
      </c>
    </row>
    <row r="1416" ht="18" customHeight="1">
      <c r="A1416" s="8" t="inlineStr">
        <is>
          <t>21.3.4</t>
        </is>
      </c>
      <c r="B1416" s="9" t="inlineStr">
        <is>
          <t xml:space="preserve">    Adding encryption format to images and clones</t>
        </is>
      </c>
      <c r="C1416" s="10">
        <f>HYPERLINK("https://www.ibm.com/docs/en/storage-ceph/9.9.1?topic=encryption-adding-format-images-clones","https://www.ibm.com/docs/en/storage-ceph/9.9.1?topic=encryption-adding-format-images-clones")</f>
        <v/>
      </c>
    </row>
    <row r="1417" ht="18" customHeight="1">
      <c r="A1417" s="5" t="inlineStr">
        <is>
          <t>21.4</t>
        </is>
      </c>
      <c r="B1417" s="6" t="inlineStr">
        <is>
          <t xml:space="preserve">  Managing snapshots</t>
        </is>
      </c>
      <c r="C1417" s="7">
        <f>HYPERLINK("https://www.ibm.com/docs/en/storage-ceph/9.9.1?topic=devices-managing-snapshots","https://www.ibm.com/docs/en/storage-ceph/9.9.1?topic=devices-managing-snapshots")</f>
        <v/>
      </c>
    </row>
    <row r="1418" ht="18" customHeight="1">
      <c r="A1418" s="8" t="inlineStr">
        <is>
          <t>21.4.1</t>
        </is>
      </c>
      <c r="B1418" s="9" t="inlineStr">
        <is>
          <t xml:space="preserve">    Creating snapshots</t>
        </is>
      </c>
      <c r="C1418" s="10">
        <f>HYPERLINK("https://www.ibm.com/docs/en/storage-ceph/9.9.1?topic=snapshots-creating","https://www.ibm.com/docs/en/storage-ceph/9.9.1?topic=snapshots-creating")</f>
        <v/>
      </c>
    </row>
    <row r="1419" ht="18" customHeight="1">
      <c r="A1419" s="8" t="inlineStr">
        <is>
          <t>21.4.2</t>
        </is>
      </c>
      <c r="B1419" s="9" t="inlineStr">
        <is>
          <t xml:space="preserve">    Listing snapshots</t>
        </is>
      </c>
      <c r="C1419" s="10">
        <f>HYPERLINK("https://www.ibm.com/docs/en/storage-ceph/9.9.1?topic=snapshots-listing","https://www.ibm.com/docs/en/storage-ceph/9.9.1?topic=snapshots-listing")</f>
        <v/>
      </c>
    </row>
    <row r="1420" ht="18" customHeight="1">
      <c r="A1420" s="8" t="inlineStr">
        <is>
          <t>21.4.3</t>
        </is>
      </c>
      <c r="B1420" s="9" t="inlineStr">
        <is>
          <t xml:space="preserve">    Roll back snapshots</t>
        </is>
      </c>
      <c r="C1420" s="10">
        <f>HYPERLINK("https://www.ibm.com/docs/en/storage-ceph/9.9.1?topic=snapshots-roll-back","https://www.ibm.com/docs/en/storage-ceph/9.9.1?topic=snapshots-roll-back")</f>
        <v/>
      </c>
    </row>
    <row r="1421" ht="18" customHeight="1">
      <c r="A1421" s="8" t="inlineStr">
        <is>
          <t>21.4.4</t>
        </is>
      </c>
      <c r="B1421" s="9" t="inlineStr">
        <is>
          <t xml:space="preserve">    Deleting snapshot</t>
        </is>
      </c>
      <c r="C1421" s="10">
        <f>HYPERLINK("https://www.ibm.com/docs/en/storage-ceph/9.9.1?topic=snapshots-deleting-snapshot","https://www.ibm.com/docs/en/storage-ceph/9.9.1?topic=snapshots-deleting-snapshot")</f>
        <v/>
      </c>
    </row>
    <row r="1422" ht="18" customHeight="1">
      <c r="A1422" s="8" t="inlineStr">
        <is>
          <t>21.4.5</t>
        </is>
      </c>
      <c r="B1422" s="9" t="inlineStr">
        <is>
          <t xml:space="preserve">    Purging snapshots</t>
        </is>
      </c>
      <c r="C1422" s="10">
        <f>HYPERLINK("https://www.ibm.com/docs/en/storage-ceph/9.9.1?topic=snapshots-purging","https://www.ibm.com/docs/en/storage-ceph/9.9.1?topic=snapshots-purging")</f>
        <v/>
      </c>
    </row>
    <row r="1423" ht="18" customHeight="1">
      <c r="A1423" s="8" t="inlineStr">
        <is>
          <t>21.4.6</t>
        </is>
      </c>
      <c r="B1423" s="9" t="inlineStr">
        <is>
          <t xml:space="preserve">    Renaming snapshots</t>
        </is>
      </c>
      <c r="C1423" s="10">
        <f>HYPERLINK("https://www.ibm.com/docs/en/storage-ceph/9.9.1?topic=snapshots-renaming","https://www.ibm.com/docs/en/storage-ceph/9.9.1?topic=snapshots-renaming")</f>
        <v/>
      </c>
    </row>
    <row r="1424" ht="18" customHeight="1">
      <c r="A1424" s="8" t="inlineStr">
        <is>
          <t>21.4.7</t>
        </is>
      </c>
      <c r="B1424" s="9" t="inlineStr">
        <is>
          <t xml:space="preserve">    Ceph Block Device layering</t>
        </is>
      </c>
      <c r="C1424" s="10">
        <f>HYPERLINK("https://www.ibm.com/docs/en/storage-ceph/9.9.1?topic=snapshots-ceph-block-device-layering","https://www.ibm.com/docs/en/storage-ceph/9.9.1?topic=snapshots-ceph-block-device-layering")</f>
        <v/>
      </c>
    </row>
    <row r="1425" ht="18" customHeight="1">
      <c r="A1425" s="8" t="inlineStr">
        <is>
          <t>21.4.8</t>
        </is>
      </c>
      <c r="B1425" s="9" t="inlineStr">
        <is>
          <t xml:space="preserve">    Protecting snapshots</t>
        </is>
      </c>
      <c r="C1425" s="10">
        <f>HYPERLINK("https://www.ibm.com/docs/en/storage-ceph/9.9.1?topic=snapshots-protecting","https://www.ibm.com/docs/en/storage-ceph/9.9.1?topic=snapshots-protecting")</f>
        <v/>
      </c>
    </row>
    <row r="1426" ht="18" customHeight="1">
      <c r="A1426" s="8" t="inlineStr">
        <is>
          <t>21.4.9</t>
        </is>
      </c>
      <c r="B1426" s="9" t="inlineStr">
        <is>
          <t xml:space="preserve">    Cloning block device snapshot</t>
        </is>
      </c>
      <c r="C1426" s="10">
        <f>HYPERLINK("https://www.ibm.com/docs/en/storage-ceph/9.9.1?topic=snapshots-cloning-block-device-snapshot","https://www.ibm.com/docs/en/storage-ceph/9.9.1?topic=snapshots-cloning-block-device-snapshot")</f>
        <v/>
      </c>
    </row>
    <row r="1427" ht="18" customHeight="1">
      <c r="A1427" s="8" t="inlineStr">
        <is>
          <t>21.4.9.1</t>
        </is>
      </c>
      <c r="B1427" s="9" t="inlineStr">
        <is>
          <t xml:space="preserve">      Cloning a single block device snapshot</t>
        </is>
      </c>
      <c r="C1427" s="10">
        <f>HYPERLINK("https://www.ibm.com/docs/en/storage-ceph/9.9.1?topic=snapshot-cloning-single-block-device","https://www.ibm.com/docs/en/storage-ceph/9.9.1?topic=snapshot-cloning-single-block-device")</f>
        <v/>
      </c>
    </row>
    <row r="1428" ht="18" customHeight="1">
      <c r="A1428" s="8" t="inlineStr">
        <is>
          <t>21.4.9.2</t>
        </is>
      </c>
      <c r="B1428" s="9" t="inlineStr">
        <is>
          <t xml:space="preserve">      Cloning block device group snapshot</t>
        </is>
      </c>
      <c r="C1428" s="10">
        <f>HYPERLINK("https://www.ibm.com/docs/en/storage-ceph/9.9.1?topic=snapshot-cloning-block-device-group","https://www.ibm.com/docs/en/storage-ceph/9.9.1?topic=snapshot-cloning-block-device-group")</f>
        <v/>
      </c>
    </row>
    <row r="1429" ht="18" customHeight="1">
      <c r="A1429" s="8" t="inlineStr">
        <is>
          <t>21.4.10</t>
        </is>
      </c>
      <c r="B1429" s="9" t="inlineStr">
        <is>
          <t xml:space="preserve">    Unprotecting snapshots</t>
        </is>
      </c>
      <c r="C1429" s="10">
        <f>HYPERLINK("https://www.ibm.com/docs/en/storage-ceph/9.9.1?topic=snapshots-unprotecting","https://www.ibm.com/docs/en/storage-ceph/9.9.1?topic=snapshots-unprotecting")</f>
        <v/>
      </c>
    </row>
    <row r="1430" ht="18" customHeight="1">
      <c r="A1430" s="8" t="inlineStr">
        <is>
          <t>21.4.11</t>
        </is>
      </c>
      <c r="B1430" s="9" t="inlineStr">
        <is>
          <t xml:space="preserve">    Listing children of a snapshot</t>
        </is>
      </c>
      <c r="C1430" s="10">
        <f>HYPERLINK("https://www.ibm.com/docs/en/storage-ceph/9.9.1?topic=snapshots-listing-children-snapshot","https://www.ibm.com/docs/en/storage-ceph/9.9.1?topic=snapshots-listing-children-snapshot")</f>
        <v/>
      </c>
    </row>
    <row r="1431" ht="18" customHeight="1">
      <c r="A1431" s="8" t="inlineStr">
        <is>
          <t>21.4.12</t>
        </is>
      </c>
      <c r="B1431" s="9" t="inlineStr">
        <is>
          <t xml:space="preserve">    Flattening cloned images</t>
        </is>
      </c>
      <c r="C1431" s="10">
        <f>HYPERLINK("https://www.ibm.com/docs/en/storage-ceph/9.9.1?topic=snapshots-flattening-cloned-images","https://www.ibm.com/docs/en/storage-ceph/9.9.1?topic=snapshots-flattening-cloned-images")</f>
        <v/>
      </c>
    </row>
    <row r="1432" ht="18" customHeight="1">
      <c r="A1432" s="5" t="inlineStr">
        <is>
          <t>21.5</t>
        </is>
      </c>
      <c r="B1432" s="6" t="inlineStr">
        <is>
          <t xml:space="preserve">  Mirroring Ceph Block Devices</t>
        </is>
      </c>
      <c r="C1432" s="7">
        <f>HYPERLINK("https://www.ibm.com/docs/en/storage-ceph/9.9.1?topic=devices-mirroring-ceph-block","https://www.ibm.com/docs/en/storage-ceph/9.9.1?topic=devices-mirroring-ceph-block")</f>
        <v/>
      </c>
    </row>
    <row r="1433" ht="18" customHeight="1">
      <c r="A1433" s="8" t="inlineStr">
        <is>
          <t>21.5.1</t>
        </is>
      </c>
      <c r="B1433" s="9" t="inlineStr">
        <is>
          <t xml:space="preserve">    Configuring Ceph Block Device mirroring</t>
        </is>
      </c>
      <c r="C1433" s="10">
        <f>HYPERLINK("https://www.ibm.com/docs/en/storage-ceph/9.9.1?topic=devices-configuring-ceph-block-device-mirroring","https://www.ibm.com/docs/en/storage-ceph/9.9.1?topic=devices-configuring-ceph-block-device-mirroring")</f>
        <v/>
      </c>
    </row>
    <row r="1434" ht="18" customHeight="1">
      <c r="A1434" s="8" t="inlineStr">
        <is>
          <t>21.5.2</t>
        </is>
      </c>
      <c r="B1434" s="9" t="inlineStr">
        <is>
          <t xml:space="preserve">    Administering Ceph Block Device mirroring</t>
        </is>
      </c>
      <c r="C1434" s="10">
        <f>HYPERLINK("https://www.ibm.com/docs/en/storage-ceph/9.9.1?topic=devices-administering-ceph-block-device-mirroring","https://www.ibm.com/docs/en/storage-ceph/9.9.1?topic=devices-administering-ceph-block-device-mirroring")</f>
        <v/>
      </c>
    </row>
    <row r="1435" ht="18" customHeight="1">
      <c r="A1435" s="8" t="inlineStr">
        <is>
          <t>21.5.2.1</t>
        </is>
      </c>
      <c r="B1435" s="9" t="inlineStr">
        <is>
          <t xml:space="preserve">      Viewing peer information</t>
        </is>
      </c>
      <c r="C1435" s="10">
        <f>HYPERLINK("https://www.ibm.com/docs/en/storage-ceph/9.9.1?topic=mirroring-viewing-peer-information","https://www.ibm.com/docs/en/storage-ceph/9.9.1?topic=mirroring-viewing-peer-information")</f>
        <v/>
      </c>
    </row>
    <row r="1436" ht="18" customHeight="1">
      <c r="A1436" s="8" t="inlineStr">
        <is>
          <t>21.5.2.2</t>
        </is>
      </c>
      <c r="B1436" s="9" t="inlineStr">
        <is>
          <t xml:space="preserve">      Managing mirroring on a pool</t>
        </is>
      </c>
      <c r="C1436" s="10">
        <f>HYPERLINK("https://www.ibm.com/docs/en/storage-ceph/9.9.1?topic=mirroring-managing-pool","https://www.ibm.com/docs/en/storage-ceph/9.9.1?topic=mirroring-managing-pool")</f>
        <v/>
      </c>
    </row>
    <row r="1437" ht="18" customHeight="1">
      <c r="A1437" s="8" t="inlineStr">
        <is>
          <t>21.5.2.3</t>
        </is>
      </c>
      <c r="B1437" s="9" t="inlineStr">
        <is>
          <t xml:space="preserve">      Managing mirroring on images</t>
        </is>
      </c>
      <c r="C1437" s="10">
        <f>HYPERLINK("https://www.ibm.com/docs/en/storage-ceph/9.9.1?topic=mirroring-managing-images","https://www.ibm.com/docs/en/storage-ceph/9.9.1?topic=mirroring-managing-images")</f>
        <v/>
      </c>
    </row>
    <row r="1438" ht="18" customHeight="1">
      <c r="A1438" s="8" t="inlineStr">
        <is>
          <t>21.5.2.4</t>
        </is>
      </c>
      <c r="B1438" s="9" t="inlineStr">
        <is>
          <t xml:space="preserve">      Managing mirroring on a consistency group</t>
        </is>
      </c>
      <c r="C1438" s="10">
        <f>HYPERLINK("https://www.ibm.com/docs/en/storage-ceph/9.9.1?topic=mirroring-managing-consistency-group","https://www.ibm.com/docs/en/storage-ceph/9.9.1?topic=mirroring-managing-consistency-group")</f>
        <v/>
      </c>
    </row>
    <row r="1439" ht="18" customHeight="1">
      <c r="A1439" s="8" t="inlineStr">
        <is>
          <t>21.5.2.5</t>
        </is>
      </c>
      <c r="B1439" s="9" t="inlineStr">
        <is>
          <t xml:space="preserve">      Managing mirroring on a namespace</t>
        </is>
      </c>
      <c r="C1439" s="10">
        <f>HYPERLINK("https://www.ibm.com/docs/en/storage-ceph/9.9.1?topic=mirroring-managing-namespace","https://www.ibm.com/docs/en/storage-ceph/9.9.1?topic=mirroring-managing-namespace")</f>
        <v/>
      </c>
    </row>
    <row r="1440" ht="18" customHeight="1">
      <c r="A1440" s="8" t="inlineStr">
        <is>
          <t>21.5.2.6</t>
        </is>
      </c>
      <c r="B1440" s="9" t="inlineStr">
        <is>
          <t xml:space="preserve">      Adding a storage cluster peer</t>
        </is>
      </c>
      <c r="C1440" s="10">
        <f>HYPERLINK("https://www.ibm.com/docs/en/storage-ceph/9.9.1?topic=mirroring-adding-storage-cluster-peer","https://www.ibm.com/docs/en/storage-ceph/9.9.1?topic=mirroring-adding-storage-cluster-peer")</f>
        <v/>
      </c>
    </row>
    <row r="1441" ht="18" customHeight="1">
      <c r="A1441" s="8" t="inlineStr">
        <is>
          <t>21.5.2.7</t>
        </is>
      </c>
      <c r="B1441" s="9" t="inlineStr">
        <is>
          <t xml:space="preserve">      Removing a storage cluster peer</t>
        </is>
      </c>
      <c r="C1441" s="10">
        <f>HYPERLINK("https://www.ibm.com/docs/en/storage-ceph/9.9.1?topic=mirroring-removing-storage-cluster-peer","https://www.ibm.com/docs/en/storage-ceph/9.9.1?topic=mirroring-removing-storage-cluster-peer")</f>
        <v/>
      </c>
    </row>
    <row r="1442" ht="18" customHeight="1">
      <c r="A1442" s="8" t="inlineStr">
        <is>
          <t>21.5.2.8</t>
        </is>
      </c>
      <c r="B1442" s="9" t="inlineStr">
        <is>
          <t xml:space="preserve">      Delaying block device replication</t>
        </is>
      </c>
      <c r="C1442" s="10">
        <f>HYPERLINK("https://www.ibm.com/docs/en/storage-ceph/9.9.1?topic=mirroring-delaying-block-device-replication","https://www.ibm.com/docs/en/storage-ceph/9.9.1?topic=mirroring-delaying-block-device-replication")</f>
        <v/>
      </c>
    </row>
    <row r="1443" ht="18" customHeight="1">
      <c r="A1443" s="8" t="inlineStr">
        <is>
          <t>21.5.2.9</t>
        </is>
      </c>
      <c r="B1443" s="9" t="inlineStr">
        <is>
          <t xml:space="preserve">      Converting journal-based mirroring to snapshot-based mirroring</t>
        </is>
      </c>
      <c r="C1443" s="10">
        <f>HYPERLINK("https://www.ibm.com/docs/en/storage-ceph/9.9.1?topic=mirroring-converting-journal-based-snapshot-based","https://www.ibm.com/docs/en/storage-ceph/9.9.1?topic=mirroring-converting-journal-based-snapshot-based")</f>
        <v/>
      </c>
    </row>
    <row r="1444" ht="18" customHeight="1">
      <c r="A1444" s="8" t="inlineStr">
        <is>
          <t>21.5.2.10</t>
        </is>
      </c>
      <c r="B1444" s="9" t="inlineStr">
        <is>
          <t xml:space="preserve">      Creating an image mirror-snapshot</t>
        </is>
      </c>
      <c r="C1444" s="10">
        <f>HYPERLINK("https://www.ibm.com/docs/en/storage-ceph/9.9.1?topic=mirroring-creating-image-mirror-snapshot","https://www.ibm.com/docs/en/storage-ceph/9.9.1?topic=mirroring-creating-image-mirror-snapshot")</f>
        <v/>
      </c>
    </row>
    <row r="1445" ht="18" customHeight="1">
      <c r="A1445" s="8" t="inlineStr">
        <is>
          <t>21.5.2.11</t>
        </is>
      </c>
      <c r="B1445" s="9" t="inlineStr">
        <is>
          <t xml:space="preserve">      Creating consistency group mirror snapshot</t>
        </is>
      </c>
      <c r="C1445" s="10">
        <f>HYPERLINK("https://www.ibm.com/docs/en/storage-ceph/9.9.1?topic=mirroring-creating-consistency-group-mirror-snapshot","https://www.ibm.com/docs/en/storage-ceph/9.9.1?topic=mirroring-creating-consistency-group-mirror-snapshot")</f>
        <v/>
      </c>
    </row>
    <row r="1446" ht="18" customHeight="1">
      <c r="A1446" s="8" t="inlineStr">
        <is>
          <t>21.5.2.12</t>
        </is>
      </c>
      <c r="B1446" s="9" t="inlineStr">
        <is>
          <t xml:space="preserve">      Scheduling mirror snapshots</t>
        </is>
      </c>
      <c r="C1446" s="10">
        <f>HYPERLINK("https://www.ibm.com/docs/en/storage-ceph/9.9.1?topic=mirroring-scheduling-mirror-snapshots","https://www.ibm.com/docs/en/storage-ceph/9.9.1?topic=mirroring-scheduling-mirror-snapshots")</f>
        <v/>
      </c>
    </row>
    <row r="1447" ht="18" customHeight="1">
      <c r="A1447" s="8" t="inlineStr">
        <is>
          <t>21.5.2.13</t>
        </is>
      </c>
      <c r="B1447" s="9" t="inlineStr">
        <is>
          <t xml:space="preserve">      Scheduling consistency group mirror snapshots</t>
        </is>
      </c>
      <c r="C1447" s="10">
        <f>HYPERLINK("https://www.ibm.com/docs/en/storage-ceph/9.9.1?topic=mirroring-scheduling-consistency-group-mirror-snapshots","https://www.ibm.com/docs/en/storage-ceph/9.9.1?topic=mirroring-scheduling-consistency-group-mirror-snapshots")</f>
        <v/>
      </c>
    </row>
    <row r="1448" ht="18" customHeight="1">
      <c r="A1448" s="8" t="inlineStr">
        <is>
          <t>21.5.2.14</t>
        </is>
      </c>
      <c r="B1448" s="9" t="inlineStr">
        <is>
          <t xml:space="preserve">      Configure graceful shutdown for rbd-mirror</t>
        </is>
      </c>
      <c r="C1448" s="10">
        <f>HYPERLINK("https://www.ibm.com/docs/en/storage-ceph/9.9.1?topic=mirroring-configure-graceful-shutdown-rbd-mirror","https://www.ibm.com/docs/en/storage-ceph/9.9.1?topic=mirroring-configure-graceful-shutdown-rbd-mirror")</f>
        <v/>
      </c>
    </row>
    <row r="1449" ht="18" customHeight="1">
      <c r="A1449" s="8" t="inlineStr">
        <is>
          <t>21.5.3</t>
        </is>
      </c>
      <c r="B1449" s="9" t="inlineStr">
        <is>
          <t xml:space="preserve">    Setting up mirroring between the default and non-default namespaces</t>
        </is>
      </c>
      <c r="C1449" s="10">
        <f>HYPERLINK("https://www.ibm.com/docs/en/storage-ceph/9.9.1?topic=mcbd-setting-up-mirroring-between-default-non-default-namespaces","https://www.ibm.com/docs/en/storage-ceph/9.9.1?topic=mcbd-setting-up-mirroring-between-default-non-default-namespaces")</f>
        <v/>
      </c>
    </row>
    <row r="1450" ht="18" customHeight="1">
      <c r="A1450" s="8" t="inlineStr">
        <is>
          <t>21.5.4</t>
        </is>
      </c>
      <c r="B1450" s="9" t="inlineStr">
        <is>
          <t xml:space="preserve">    Disaster recovery</t>
        </is>
      </c>
      <c r="C1450" s="10">
        <f>HYPERLINK("https://www.ibm.com/docs/en/storage-ceph/9.9.1?topic=devices-disaster-recovery","https://www.ibm.com/docs/en/storage-ceph/9.9.1?topic=devices-disaster-recovery")</f>
        <v/>
      </c>
    </row>
    <row r="1451" ht="18" customHeight="1">
      <c r="A1451" s="8" t="inlineStr">
        <is>
          <t>21.5.4.1</t>
        </is>
      </c>
      <c r="B1451" s="9" t="inlineStr">
        <is>
          <t xml:space="preserve">      Recover with one-way mirroring</t>
        </is>
      </c>
      <c r="C1451" s="10">
        <f>HYPERLINK("https://www.ibm.com/docs/en/storage-ceph/9.9.1?topic=recovery-recover-one-way-mirroring","https://www.ibm.com/docs/en/storage-ceph/9.9.1?topic=recovery-recover-one-way-mirroring")</f>
        <v/>
      </c>
    </row>
    <row r="1452" ht="18" customHeight="1">
      <c r="A1452" s="8" t="inlineStr">
        <is>
          <t>21.5.4.2</t>
        </is>
      </c>
      <c r="B1452" s="9" t="inlineStr">
        <is>
          <t xml:space="preserve">      Recover with two-way mirroring</t>
        </is>
      </c>
      <c r="C1452" s="10">
        <f>HYPERLINK("https://www.ibm.com/docs/en/storage-ceph/9.9.1?topic=recovery-recover-two-way-mirroring","https://www.ibm.com/docs/en/storage-ceph/9.9.1?topic=recovery-recover-two-way-mirroring")</f>
        <v/>
      </c>
    </row>
    <row r="1453" ht="18" customHeight="1">
      <c r="A1453" s="8" t="inlineStr">
        <is>
          <t>21.5.4.3</t>
        </is>
      </c>
      <c r="B1453" s="9" t="inlineStr">
        <is>
          <t xml:space="preserve">      Failover after an orderly shutdown</t>
        </is>
      </c>
      <c r="C1453" s="10">
        <f>HYPERLINK("https://www.ibm.com/docs/en/storage-ceph/9.9.1?topic=recovery-failover-after-orderly-shutdown","https://www.ibm.com/docs/en/storage-ceph/9.9.1?topic=recovery-failover-after-orderly-shutdown")</f>
        <v/>
      </c>
    </row>
    <row r="1454" ht="18" customHeight="1">
      <c r="A1454" s="8" t="inlineStr">
        <is>
          <t>21.5.4.4</t>
        </is>
      </c>
      <c r="B1454" s="9" t="inlineStr">
        <is>
          <t xml:space="preserve">      Failover after a non-orderly shutdown</t>
        </is>
      </c>
      <c r="C1454" s="10">
        <f>HYPERLINK("https://www.ibm.com/docs/en/storage-ceph/9.9.1?topic=recovery-failover-after-non-orderly-shutdown","https://www.ibm.com/docs/en/storage-ceph/9.9.1?topic=recovery-failover-after-non-orderly-shutdown")</f>
        <v/>
      </c>
    </row>
    <row r="1455" ht="18" customHeight="1">
      <c r="A1455" s="8" t="inlineStr">
        <is>
          <t>21.5.4.5</t>
        </is>
      </c>
      <c r="B1455" s="9" t="inlineStr">
        <is>
          <t xml:space="preserve">      Preparing for fail back</t>
        </is>
      </c>
      <c r="C1455" s="10">
        <f>HYPERLINK("https://www.ibm.com/docs/en/storage-ceph/9.9.1?topic=recovery-preparing-fail-back","https://www.ibm.com/docs/en/storage-ceph/9.9.1?topic=recovery-preparing-fail-back")</f>
        <v/>
      </c>
    </row>
    <row r="1456" ht="18" customHeight="1">
      <c r="A1456" s="8" t="inlineStr">
        <is>
          <t>21.5.4.5.1</t>
        </is>
      </c>
      <c r="B1456" s="9" t="inlineStr">
        <is>
          <t xml:space="preserve">        Fail back to the primary storage cluster</t>
        </is>
      </c>
      <c r="C1456" s="10">
        <f>HYPERLINK("https://www.ibm.com/docs/en/storage-ceph/9.9.1?topic=back-fail-primary-storage-cluster","https://www.ibm.com/docs/en/storage-ceph/9.9.1?topic=back-fail-primary-storage-cluster")</f>
        <v/>
      </c>
    </row>
    <row r="1457" ht="18" customHeight="1">
      <c r="A1457" s="8" t="inlineStr">
        <is>
          <t>21.5.4.5.2</t>
        </is>
      </c>
      <c r="B1457" s="9" t="inlineStr">
        <is>
          <t xml:space="preserve">        Removing two-way mirroring</t>
        </is>
      </c>
      <c r="C1457" s="10">
        <f>HYPERLINK("https://www.ibm.com/docs/en/storage-ceph/9.9.1?topic=back-removing-two-way-mirroring","https://www.ibm.com/docs/en/storage-ceph/9.9.1?topic=back-removing-two-way-mirroring")</f>
        <v/>
      </c>
    </row>
    <row r="1458" ht="18" customHeight="1">
      <c r="A1458" s="5" t="inlineStr">
        <is>
          <t>21.6</t>
        </is>
      </c>
      <c r="B1458" s="6" t="inlineStr">
        <is>
          <t xml:space="preserve">  Managing ceph-immutable-object-cache daemons</t>
        </is>
      </c>
      <c r="C1458" s="7">
        <f>HYPERLINK("https://www.ibm.com/docs/en/storage-ceph/9.9.1?topic=devices-managing-ceph-immutable-object-cache-daemons","https://www.ibm.com/docs/en/storage-ceph/9.9.1?topic=devices-managing-ceph-immutable-object-cache-daemons")</f>
        <v/>
      </c>
    </row>
    <row r="1459" ht="18" customHeight="1">
      <c r="A1459" s="8" t="inlineStr">
        <is>
          <t>21.6.1</t>
        </is>
      </c>
      <c r="B1459" s="9" t="inlineStr">
        <is>
          <t xml:space="preserve">    Overview</t>
        </is>
      </c>
      <c r="C1459" s="10">
        <f>HYPERLINK("https://www.ibm.com/docs/en/storage-ceph/9.9.1?topic=daemons-overview","https://www.ibm.com/docs/en/storage-ceph/9.9.1?topic=daemons-overview")</f>
        <v/>
      </c>
    </row>
    <row r="1460" ht="18" customHeight="1">
      <c r="A1460" s="8" t="inlineStr">
        <is>
          <t>21.6.2</t>
        </is>
      </c>
      <c r="B1460" s="9" t="inlineStr">
        <is>
          <t xml:space="preserve">    Configuration</t>
        </is>
      </c>
      <c r="C1460" s="10">
        <f>HYPERLINK("https://www.ibm.com/docs/en/storage-ceph/9.9.1?topic=daemons-configuration","https://www.ibm.com/docs/en/storage-ceph/9.9.1?topic=daemons-configuration")</f>
        <v/>
      </c>
    </row>
    <row r="1461" ht="18" customHeight="1">
      <c r="A1461" s="8" t="inlineStr">
        <is>
          <t>21.6.3</t>
        </is>
      </c>
      <c r="B1461" s="9" t="inlineStr">
        <is>
          <t xml:space="preserve">    Generic settings</t>
        </is>
      </c>
      <c r="C1461" s="10">
        <f>HYPERLINK("https://www.ibm.com/docs/en/storage-ceph/9.9.1?topic=daemons-generic-settings","https://www.ibm.com/docs/en/storage-ceph/9.9.1?topic=daemons-generic-settings")</f>
        <v/>
      </c>
    </row>
    <row r="1462" ht="18" customHeight="1">
      <c r="A1462" s="8" t="inlineStr">
        <is>
          <t>21.6.4</t>
        </is>
      </c>
      <c r="B1462" s="9" t="inlineStr">
        <is>
          <t xml:space="preserve">    QOS settings</t>
        </is>
      </c>
      <c r="C1462" s="10">
        <f>HYPERLINK("https://www.ibm.com/docs/en/storage-ceph/9.9.1?topic=daemons-qos-settings","https://www.ibm.com/docs/en/storage-ceph/9.9.1?topic=daemons-qos-settings")</f>
        <v/>
      </c>
    </row>
    <row r="1463" ht="18" customHeight="1">
      <c r="A1463" s="5" t="inlineStr">
        <is>
          <t>21.7</t>
        </is>
      </c>
      <c r="B1463" s="6" t="inlineStr">
        <is>
          <t xml:space="preserve">  rbd kernel module</t>
        </is>
      </c>
      <c r="C1463" s="7">
        <f>HYPERLINK("https://www.ibm.com/docs/en/storage-ceph/9.9.1?topic=devices-rbd-kernel-module","https://www.ibm.com/docs/en/storage-ceph/9.9.1?topic=devices-rbd-kernel-module")</f>
        <v/>
      </c>
    </row>
    <row r="1464" ht="18" customHeight="1">
      <c r="A1464" s="8" t="inlineStr">
        <is>
          <t>21.7.1</t>
        </is>
      </c>
      <c r="B1464" s="9" t="inlineStr">
        <is>
          <t xml:space="preserve">    Creating a Ceph Block Device and using it from a Linux kernel module client</t>
        </is>
      </c>
      <c r="C1464" s="10">
        <f>HYPERLINK("https://www.ibm.com/docs/en/storage-ceph/9.9.1?topic=rkm-creating-ceph-block-device-using-it-from-linux-kernel-module-client","https://www.ibm.com/docs/en/storage-ceph/9.9.1?topic=rkm-creating-ceph-block-device-using-it-from-linux-kernel-module-client")</f>
        <v/>
      </c>
    </row>
    <row r="1465" ht="18" customHeight="1">
      <c r="A1465" s="8" t="inlineStr">
        <is>
          <t>21.7.1.1</t>
        </is>
      </c>
      <c r="B1465" s="9" t="inlineStr">
        <is>
          <t xml:space="preserve">      Creating a Ceph Block Device for a Linux kernel module client using dashboard</t>
        </is>
      </c>
      <c r="C1465" s="10">
        <f>HYPERLINK("https://www.ibm.com/docs/en/storage-ceph/9.9.1?topic=ccbduiflkmc-creating-ceph-block-device-linux-kernel-module-client-using-dashboard","https://www.ibm.com/docs/en/storage-ceph/9.9.1?topic=ccbduiflkmc-creating-ceph-block-device-linux-kernel-module-client-using-dashboard")</f>
        <v/>
      </c>
    </row>
    <row r="1466" ht="18" customHeight="1">
      <c r="A1466" s="8" t="inlineStr">
        <is>
          <t>21.7.1.2</t>
        </is>
      </c>
      <c r="B1466" s="9" t="inlineStr">
        <is>
          <t xml:space="preserve">      Map and mount a Ceph Block Device on Linux using the command-line</t>
        </is>
      </c>
      <c r="C1466" s="10">
        <f>HYPERLINK("https://www.ibm.com/docs/en/storage-ceph/9.9.1?topic=ccbduiflkmc-map-mount-ceph-block-device-linux-using-command-line","https://www.ibm.com/docs/en/storage-ceph/9.9.1?topic=ccbduiflkmc-map-mount-ceph-block-device-linux-using-command-line")</f>
        <v/>
      </c>
    </row>
    <row r="1467" ht="18" customHeight="1">
      <c r="A1467" s="8" t="inlineStr">
        <is>
          <t>21.7.2</t>
        </is>
      </c>
      <c r="B1467" s="9" t="inlineStr">
        <is>
          <t xml:space="preserve">    Mapping a block device</t>
        </is>
      </c>
      <c r="C1467" s="10">
        <f>HYPERLINK("https://www.ibm.com/docs/en/storage-ceph/9.9.1?topic=module-mapping-block-device","https://www.ibm.com/docs/en/storage-ceph/9.9.1?topic=module-mapping-block-device")</f>
        <v/>
      </c>
    </row>
    <row r="1468" ht="18" customHeight="1">
      <c r="A1468" s="8" t="inlineStr">
        <is>
          <t>21.7.3</t>
        </is>
      </c>
      <c r="B1468" s="9" t="inlineStr">
        <is>
          <t xml:space="preserve">    Displaying mapped block devices</t>
        </is>
      </c>
      <c r="C1468" s="10">
        <f>HYPERLINK("https://www.ibm.com/docs/en/storage-ceph/9.9.1?topic=module-displaying-mapped-block-devices","https://www.ibm.com/docs/en/storage-ceph/9.9.1?topic=module-displaying-mapped-block-devices")</f>
        <v/>
      </c>
    </row>
    <row r="1469" ht="18" customHeight="1">
      <c r="A1469" s="8" t="inlineStr">
        <is>
          <t>21.7.4</t>
        </is>
      </c>
      <c r="B1469" s="9" t="inlineStr">
        <is>
          <t xml:space="preserve">    Unmapping a block device</t>
        </is>
      </c>
      <c r="C1469" s="10">
        <f>HYPERLINK("https://www.ibm.com/docs/en/storage-ceph/9.9.1?topic=module-unmapping-block-device","https://www.ibm.com/docs/en/storage-ceph/9.9.1?topic=module-unmapping-block-device")</f>
        <v/>
      </c>
    </row>
    <row r="1470" ht="18" customHeight="1">
      <c r="A1470" s="5" t="inlineStr">
        <is>
          <t>21.8</t>
        </is>
      </c>
      <c r="B1470" s="6" t="inlineStr">
        <is>
          <t xml:space="preserve">  Ceph Block Device python module</t>
        </is>
      </c>
      <c r="C1470" s="7">
        <f>HYPERLINK("https://www.ibm.com/docs/en/storage-ceph/9.9.1?topic=devices-ceph-block-device-python-module","https://www.ibm.com/docs/en/storage-ceph/9.9.1?topic=devices-ceph-block-device-python-module")</f>
        <v/>
      </c>
    </row>
    <row r="1471" ht="18" customHeight="1">
      <c r="A1471" s="5" t="inlineStr">
        <is>
          <t>21.9</t>
        </is>
      </c>
      <c r="B1471" s="6" t="inlineStr">
        <is>
          <t xml:space="preserve">  Ceph Block Device configuration reference</t>
        </is>
      </c>
      <c r="C1471" s="7">
        <f>HYPERLINK("https://www.ibm.com/docs/en/storage-ceph/9.9.1?topic=devices-ceph-block-device-configuration-reference","https://www.ibm.com/docs/en/storage-ceph/9.9.1?topic=devices-ceph-block-device-configuration-reference")</f>
        <v/>
      </c>
    </row>
    <row r="1472" ht="18" customHeight="1">
      <c r="A1472" s="8" t="inlineStr">
        <is>
          <t>21.9.1</t>
        </is>
      </c>
      <c r="B1472" s="9" t="inlineStr">
        <is>
          <t xml:space="preserve">    Default options</t>
        </is>
      </c>
      <c r="C1472" s="10">
        <f>HYPERLINK("https://www.ibm.com/docs/en/storage-ceph/9.9.1?topic=reference-default-options","https://www.ibm.com/docs/en/storage-ceph/9.9.1?topic=reference-default-options")</f>
        <v/>
      </c>
    </row>
    <row r="1473" ht="18" customHeight="1">
      <c r="A1473" s="8" t="inlineStr">
        <is>
          <t>21.9.2</t>
        </is>
      </c>
      <c r="B1473" s="9" t="inlineStr">
        <is>
          <t xml:space="preserve">    General options</t>
        </is>
      </c>
      <c r="C1473" s="10">
        <f>HYPERLINK("https://www.ibm.com/docs/en/storage-ceph/9.9.1?topic=reference-general-options","https://www.ibm.com/docs/en/storage-ceph/9.9.1?topic=reference-general-options")</f>
        <v/>
      </c>
    </row>
    <row r="1474" ht="18" customHeight="1">
      <c r="A1474" s="8" t="inlineStr">
        <is>
          <t>21.9.3</t>
        </is>
      </c>
      <c r="B1474" s="9" t="inlineStr">
        <is>
          <t xml:space="preserve">    Caching options</t>
        </is>
      </c>
      <c r="C1474" s="10">
        <f>HYPERLINK("https://www.ibm.com/docs/en/storage-ceph/9.9.1?topic=reference-caching-options","https://www.ibm.com/docs/en/storage-ceph/9.9.1?topic=reference-caching-options")</f>
        <v/>
      </c>
    </row>
    <row r="1475" ht="18" customHeight="1">
      <c r="A1475" s="8" t="inlineStr">
        <is>
          <t>21.9.4</t>
        </is>
      </c>
      <c r="B1475" s="9" t="inlineStr">
        <is>
          <t xml:space="preserve">    Parent and child read options</t>
        </is>
      </c>
      <c r="C1475" s="10">
        <f>HYPERLINK("https://www.ibm.com/docs/en/storage-ceph/9.9.1?topic=reference-parent-child-read-options","https://www.ibm.com/docs/en/storage-ceph/9.9.1?topic=reference-parent-child-read-options")</f>
        <v/>
      </c>
    </row>
    <row r="1476" ht="18" customHeight="1">
      <c r="A1476" s="8" t="inlineStr">
        <is>
          <t>21.9.5</t>
        </is>
      </c>
      <c r="B1476" s="9" t="inlineStr">
        <is>
          <t xml:space="preserve">    Read ahead options</t>
        </is>
      </c>
      <c r="C1476" s="10">
        <f>HYPERLINK("https://www.ibm.com/docs/en/storage-ceph/9.9.1?topic=reference-read-ahead-options","https://www.ibm.com/docs/en/storage-ceph/9.9.1?topic=reference-read-ahead-options")</f>
        <v/>
      </c>
    </row>
    <row r="1477" ht="18" customHeight="1">
      <c r="A1477" s="8" t="inlineStr">
        <is>
          <t>21.9.6</t>
        </is>
      </c>
      <c r="B1477" s="9" t="inlineStr">
        <is>
          <t xml:space="preserve">    Block-list options</t>
        </is>
      </c>
      <c r="C1477" s="10">
        <f>HYPERLINK("https://www.ibm.com/docs/en/storage-ceph/9.9.1?topic=reference-block-list-options","https://www.ibm.com/docs/en/storage-ceph/9.9.1?topic=reference-block-list-options")</f>
        <v/>
      </c>
    </row>
    <row r="1478" ht="18" customHeight="1">
      <c r="A1478" s="8" t="inlineStr">
        <is>
          <t>21.9.7</t>
        </is>
      </c>
      <c r="B1478" s="9" t="inlineStr">
        <is>
          <t xml:space="preserve">    Journal options</t>
        </is>
      </c>
      <c r="C1478" s="10">
        <f>HYPERLINK("https://www.ibm.com/docs/en/storage-ceph/9.9.1?topic=reference-journal-options","https://www.ibm.com/docs/en/storage-ceph/9.9.1?topic=reference-journal-options")</f>
        <v/>
      </c>
    </row>
    <row r="1479" ht="18" customHeight="1">
      <c r="A1479" s="8" t="inlineStr">
        <is>
          <t>21.9.8</t>
        </is>
      </c>
      <c r="B1479" s="9" t="inlineStr">
        <is>
          <t xml:space="preserve">    Configuration override options</t>
        </is>
      </c>
      <c r="C1479" s="10">
        <f>HYPERLINK("https://www.ibm.com/docs/en/storage-ceph/9.9.1?topic=reference-configuration-override-options","https://www.ibm.com/docs/en/storage-ceph/9.9.1?topic=reference-configuration-override-options")</f>
        <v/>
      </c>
    </row>
    <row r="1480" ht="18" customHeight="1">
      <c r="A1480" s="8" t="inlineStr">
        <is>
          <t>21.9.9</t>
        </is>
      </c>
      <c r="B1480" s="9" t="inlineStr">
        <is>
          <t xml:space="preserve">    Input and output options</t>
        </is>
      </c>
      <c r="C1480" s="10">
        <f>HYPERLINK("https://www.ibm.com/docs/en/storage-ceph/9.9.1?topic=reference-input-output-options","https://www.ibm.com/docs/en/storage-ceph/9.9.1?topic=reference-input-output-options")</f>
        <v/>
      </c>
    </row>
    <row r="1481" ht="18" customHeight="1">
      <c r="A1481" s="2" t="inlineStr">
        <is>
          <t>22</t>
        </is>
      </c>
      <c r="B1481" s="3" t="inlineStr">
        <is>
          <t>Ceph Block Devices and OpenStack</t>
        </is>
      </c>
      <c r="C1481" s="4">
        <f>HYPERLINK("https://www.ibm.com/docs/en/storage-ceph/9.9.1?topic=ceph-block-devices-openstack","https://www.ibm.com/docs/en/storage-ceph/9.9.1?topic=ceph-block-devices-openstack")</f>
        <v/>
      </c>
    </row>
    <row r="1482" ht="18" customHeight="1">
      <c r="A1482" s="5" t="inlineStr">
        <is>
          <t>22.1</t>
        </is>
      </c>
      <c r="B1482" s="6" t="inlineStr">
        <is>
          <t xml:space="preserve">  Installing and configuring Ceph for OpenStack</t>
        </is>
      </c>
      <c r="C1482" s="7">
        <f>HYPERLINK("https://www.ibm.com/docs/en/storage-ceph/9.9.1?topic=openstack-installing-configuring-ceph","https://www.ibm.com/docs/en/storage-ceph/9.9.1?topic=openstack-installing-configuring-ceph")</f>
        <v/>
      </c>
    </row>
    <row r="1483" ht="18" customHeight="1">
      <c r="A1483" s="8" t="inlineStr">
        <is>
          <t>22.1.1</t>
        </is>
      </c>
      <c r="B1483" s="9" t="inlineStr">
        <is>
          <t xml:space="preserve">    Creating Ceph pools for OpenStack</t>
        </is>
      </c>
      <c r="C1483" s="10">
        <f>HYPERLINK("https://www.ibm.com/docs/en/storage-ceph/9.9.1?topic=openstack-creating-ceph-pools","https://www.ibm.com/docs/en/storage-ceph/9.9.1?topic=openstack-creating-ceph-pools")</f>
        <v/>
      </c>
    </row>
    <row r="1484" ht="18" customHeight="1">
      <c r="A1484" s="8" t="inlineStr">
        <is>
          <t>22.1.2</t>
        </is>
      </c>
      <c r="B1484" s="9" t="inlineStr">
        <is>
          <t xml:space="preserve">    Installing the Ceph client on OpenStack</t>
        </is>
      </c>
      <c r="C1484" s="10">
        <f>HYPERLINK("https://www.ibm.com/docs/en/storage-ceph/9.9.1?topic=openstack-installing-ceph-client","https://www.ibm.com/docs/en/storage-ceph/9.9.1?topic=openstack-installing-ceph-client")</f>
        <v/>
      </c>
    </row>
    <row r="1485" ht="18" customHeight="1">
      <c r="A1485" s="8" t="inlineStr">
        <is>
          <t>22.1.3</t>
        </is>
      </c>
      <c r="B1485" s="9" t="inlineStr">
        <is>
          <t xml:space="preserve">    Copying the Ceph configuration file to OpenStack</t>
        </is>
      </c>
      <c r="C1485" s="10">
        <f>HYPERLINK("https://www.ibm.com/docs/en/storage-ceph/9.9.1?topic=openstack-copying-ceph-configuration-file","https://www.ibm.com/docs/en/storage-ceph/9.9.1?topic=openstack-copying-ceph-configuration-file")</f>
        <v/>
      </c>
    </row>
    <row r="1486" ht="18" customHeight="1">
      <c r="A1486" s="8" t="inlineStr">
        <is>
          <t>22.1.4</t>
        </is>
      </c>
      <c r="B1486" s="9" t="inlineStr">
        <is>
          <t xml:space="preserve">    Configuring Ceph client authentication</t>
        </is>
      </c>
      <c r="C1486" s="10">
        <f>HYPERLINK("https://www.ibm.com/docs/en/storage-ceph/9.9.1?topic=openstack-configuring-ceph-client-authentication","https://www.ibm.com/docs/en/storage-ceph/9.9.1?topic=openstack-configuring-ceph-client-authentication")</f>
        <v/>
      </c>
    </row>
    <row r="1487" ht="18" customHeight="1">
      <c r="A1487" s="5" t="inlineStr">
        <is>
          <t>22.2</t>
        </is>
      </c>
      <c r="B1487" s="6" t="inlineStr">
        <is>
          <t xml:space="preserve">  Configuring OpenStack to use Ceph Block Devices</t>
        </is>
      </c>
      <c r="C1487" s="7">
        <f>HYPERLINK("https://www.ibm.com/docs/en/storage-ceph/9.9.1?topic=openstack-configuring-use-ceph-block-devices","https://www.ibm.com/docs/en/storage-ceph/9.9.1?topic=openstack-configuring-use-ceph-block-devices")</f>
        <v/>
      </c>
    </row>
    <row r="1488" ht="18" customHeight="1">
      <c r="A1488" s="8" t="inlineStr">
        <is>
          <t>22.2.1</t>
        </is>
      </c>
      <c r="B1488" s="9" t="inlineStr">
        <is>
          <t xml:space="preserve">    Configuring Cinder to use Ceph Block Devices</t>
        </is>
      </c>
      <c r="C1488" s="10">
        <f>HYPERLINK("https://www.ibm.com/docs/en/storage-ceph/9.9.1?topic=devices-configuring-cinder-use-ceph-block","https://www.ibm.com/docs/en/storage-ceph/9.9.1?topic=devices-configuring-cinder-use-ceph-block")</f>
        <v/>
      </c>
    </row>
    <row r="1489" ht="18" customHeight="1">
      <c r="A1489" s="8" t="inlineStr">
        <is>
          <t>22.2.2</t>
        </is>
      </c>
      <c r="B1489" s="9" t="inlineStr">
        <is>
          <t xml:space="preserve">    Configuring Cinder Backup to use Ceph Block Devices</t>
        </is>
      </c>
      <c r="C1489" s="10">
        <f>HYPERLINK("https://www.ibm.com/docs/en/storage-ceph/9.9.1?topic=devices-configuring-cinder-backup-use-ceph-block","https://www.ibm.com/docs/en/storage-ceph/9.9.1?topic=devices-configuring-cinder-backup-use-ceph-block")</f>
        <v/>
      </c>
    </row>
    <row r="1490" ht="18" customHeight="1">
      <c r="A1490" s="8" t="inlineStr">
        <is>
          <t>22.2.3</t>
        </is>
      </c>
      <c r="B1490" s="9" t="inlineStr">
        <is>
          <t xml:space="preserve">    Configuring Glance to use Ceph Block Devices</t>
        </is>
      </c>
      <c r="C1490" s="10">
        <f>HYPERLINK("https://www.ibm.com/docs/en/storage-ceph/9.9.1?topic=devices-configuring-glance-use-ceph-block","https://www.ibm.com/docs/en/storage-ceph/9.9.1?topic=devices-configuring-glance-use-ceph-block")</f>
        <v/>
      </c>
    </row>
    <row r="1491" ht="18" customHeight="1">
      <c r="A1491" s="8" t="inlineStr">
        <is>
          <t>22.2.4</t>
        </is>
      </c>
      <c r="B1491" s="9" t="inlineStr">
        <is>
          <t xml:space="preserve">    Configuring Nova to use Ceph Block Devices</t>
        </is>
      </c>
      <c r="C1491" s="10">
        <f>HYPERLINK("https://www.ibm.com/docs/en/storage-ceph/9.9.1?topic=devices-configuring-nova-use-ceph-block","https://www.ibm.com/docs/en/storage-ceph/9.9.1?topic=devices-configuring-nova-use-ceph-block")</f>
        <v/>
      </c>
    </row>
    <row r="1492" ht="18" customHeight="1">
      <c r="A1492" s="5" t="inlineStr">
        <is>
          <t>22.3</t>
        </is>
      </c>
      <c r="B1492" s="6" t="inlineStr">
        <is>
          <t xml:space="preserve">  Restarting the OpenStack services</t>
        </is>
      </c>
      <c r="C1492" s="7">
        <f>HYPERLINK("https://www.ibm.com/docs/en/storage-ceph/9.9.1?topic=openstack-restarting-services","https://www.ibm.com/docs/en/storage-ceph/9.9.1?topic=openstack-restarting-services")</f>
        <v/>
      </c>
    </row>
    <row r="1493" ht="18" customHeight="1">
      <c r="A1493" s="2" t="inlineStr">
        <is>
          <t>23</t>
        </is>
      </c>
      <c r="B1493" s="3" t="inlineStr">
        <is>
          <t>Ceph NVMe-oF gateway</t>
        </is>
      </c>
      <c r="C1493" s="4">
        <f>HYPERLINK("https://www.ibm.com/docs/en/storage-ceph/9.9.1?topic=ceph-nvme-gateway","https://www.ibm.com/docs/en/storage-ceph/9.9.1?topic=ceph-nvme-gateway")</f>
        <v/>
      </c>
    </row>
    <row r="1494" ht="18" customHeight="1">
      <c r="A1494" s="5" t="inlineStr">
        <is>
          <t>23.1</t>
        </is>
      </c>
      <c r="B1494" s="6" t="inlineStr">
        <is>
          <t xml:space="preserve">  NVMe‑oF in‑band authentication</t>
        </is>
      </c>
      <c r="C1494" s="7">
        <f>HYPERLINK("https://www.ibm.com/docs/en/storage-ceph/9.9.1?topic=gateway-nvmeof-inband-authentication","https://www.ibm.com/docs/en/storage-ceph/9.9.1?topic=gateway-nvmeof-inband-authentication")</f>
        <v/>
      </c>
    </row>
    <row r="1495" ht="18" customHeight="1">
      <c r="A1495" s="5" t="inlineStr">
        <is>
          <t>23.2</t>
        </is>
      </c>
      <c r="B1495" s="6" t="inlineStr">
        <is>
          <t xml:space="preserve">  Networking requirements</t>
        </is>
      </c>
      <c r="C1495" s="7">
        <f>HYPERLINK("https://www.ibm.com/docs/en/storage-ceph/9.9.1?topic=gateway-networking-requirements","https://www.ibm.com/docs/en/storage-ceph/9.9.1?topic=gateway-networking-requirements")</f>
        <v/>
      </c>
    </row>
    <row r="1496" ht="18" customHeight="1">
      <c r="A1496" s="5" t="inlineStr">
        <is>
          <t>23.3</t>
        </is>
      </c>
      <c r="B1496" s="6" t="inlineStr">
        <is>
          <t xml:space="preserve">  NVMe-oF gateway performance best practices</t>
        </is>
      </c>
      <c r="C1496" s="7">
        <f>HYPERLINK("https://www.ibm.com/docs/en/storage-ceph/9.9.1?topic=gateway-nvme-performance-best-practices","https://www.ibm.com/docs/en/storage-ceph/9.9.1?topic=gateway-nvme-performance-best-practices")</f>
        <v/>
      </c>
    </row>
    <row r="1497" ht="18" customHeight="1">
      <c r="A1497" s="5" t="inlineStr">
        <is>
          <t>23.4</t>
        </is>
      </c>
      <c r="B1497" s="6" t="inlineStr">
        <is>
          <t xml:space="preserve">  NVMe-oF in a stretch cluster</t>
        </is>
      </c>
      <c r="C1497" s="7">
        <f>HYPERLINK("https://www.ibm.com/docs/en/storage-ceph/9.9.1?topic=gateway-nvme-in-stretch-cluster","https://www.ibm.com/docs/en/storage-ceph/9.9.1?topic=gateway-nvme-in-stretch-cluster")</f>
        <v/>
      </c>
    </row>
    <row r="1498" ht="18" customHeight="1">
      <c r="A1498" s="8" t="inlineStr">
        <is>
          <t>23.4.1</t>
        </is>
      </c>
      <c r="B1498" s="9" t="inlineStr">
        <is>
          <t xml:space="preserve">    Configuring NVMe-oF in a stretch cluster</t>
        </is>
      </c>
      <c r="C1498" s="10">
        <f>HYPERLINK("https://www.ibm.com/docs/en/storage-ceph/9.9.1?topic=cluster-configuring-nvme-in-stretch","https://www.ibm.com/docs/en/storage-ceph/9.9.1?topic=cluster-configuring-nvme-in-stretch")</f>
        <v/>
      </c>
    </row>
    <row r="1499" ht="18" customHeight="1">
      <c r="A1499" s="8" t="inlineStr">
        <is>
          <t>23.4.2</t>
        </is>
      </c>
      <c r="B1499" s="9" t="inlineStr">
        <is>
          <t xml:space="preserve">    Managing Ceph NVMe-oF stretch cluster behavior</t>
        </is>
      </c>
      <c r="C1499" s="10">
        <f>HYPERLINK("https://www.ibm.com/docs/en/storage-ceph/9.9.1?topic=cluster-managing-ceph-nvme-stretch-behavior","https://www.ibm.com/docs/en/storage-ceph/9.9.1?topic=cluster-managing-ceph-nvme-stretch-behavior")</f>
        <v/>
      </c>
    </row>
    <row r="1500" ht="18" customHeight="1">
      <c r="A1500" s="5" t="inlineStr">
        <is>
          <t>23.5</t>
        </is>
      </c>
      <c r="B1500" s="6" t="inlineStr">
        <is>
          <t xml:space="preserve">  Deploying the NVMe-oF gateway</t>
        </is>
      </c>
      <c r="C1500" s="7">
        <f>HYPERLINK("https://www.ibm.com/docs/en/storage-ceph/9.9.1?topic=gateway-deploying-nvme","https://www.ibm.com/docs/en/storage-ceph/9.9.1?topic=gateway-deploying-nvme")</f>
        <v/>
      </c>
    </row>
    <row r="1501" ht="18" customHeight="1">
      <c r="A1501" s="8" t="inlineStr">
        <is>
          <t>23.5.1</t>
        </is>
      </c>
      <c r="B1501" s="9" t="inlineStr">
        <is>
          <t xml:space="preserve">    Verifying deployment</t>
        </is>
      </c>
      <c r="C1501" s="10">
        <f>HYPERLINK("https://www.ibm.com/docs/en/storage-ceph/9.9.1?topic=gateway-verifying-deployment","https://www.ibm.com/docs/en/storage-ceph/9.9.1?topic=gateway-verifying-deployment")</f>
        <v/>
      </c>
    </row>
    <row r="1502" ht="18" customHeight="1">
      <c r="A1502" s="8" t="inlineStr">
        <is>
          <t>23.5.2</t>
        </is>
      </c>
      <c r="B1502" s="9" t="inlineStr">
        <is>
          <t xml:space="preserve">    Configuring mTLS authentication</t>
        </is>
      </c>
      <c r="C1502" s="10">
        <f>HYPERLINK("https://www.ibm.com/docs/en/storage-ceph/9.9.1?topic=gateway-configuring-mtls-authentication","https://www.ibm.com/docs/en/storage-ceph/9.9.1?topic=gateway-configuring-mtls-authentication")</f>
        <v/>
      </c>
    </row>
    <row r="1503" ht="18" customHeight="1">
      <c r="A1503" s="5" t="inlineStr">
        <is>
          <t>23.6</t>
        </is>
      </c>
      <c r="B1503" s="6" t="inlineStr">
        <is>
          <t xml:space="preserve">  Using ceph nvmeof commands</t>
        </is>
      </c>
      <c r="C1503" s="7">
        <f>HYPERLINK("https://www.ibm.com/docs/en/storage-ceph/9.9.1?topic=gateway-using-ceph-nvmeof-commands","https://www.ibm.com/docs/en/storage-ceph/9.9.1?topic=gateway-using-ceph-nvmeof-commands")</f>
        <v/>
      </c>
    </row>
    <row r="1504" ht="18" customHeight="1">
      <c r="A1504" s="5" t="inlineStr">
        <is>
          <t>23.7</t>
        </is>
      </c>
      <c r="B1504" s="6" t="inlineStr">
        <is>
          <t xml:space="preserve">  Configuring the NVMe-oF gateway target</t>
        </is>
      </c>
      <c r="C1504" s="7">
        <f>HYPERLINK("https://www.ibm.com/docs/en/storage-ceph/9.9.1?topic=gateway-configuring-nvme-target","https://www.ibm.com/docs/en/storage-ceph/9.9.1?topic=gateway-configuring-nvme-target")</f>
        <v/>
      </c>
    </row>
    <row r="1505" ht="18" customHeight="1">
      <c r="A1505" s="8" t="inlineStr">
        <is>
          <t>23.7.1</t>
        </is>
      </c>
      <c r="B1505" s="9" t="inlineStr">
        <is>
          <t xml:space="preserve">    Defining an NVMe-oF subsystem</t>
        </is>
      </c>
      <c r="C1505" s="10">
        <f>HYPERLINK("https://www.ibm.com/docs/en/storage-ceph/9.9.1?topic=target-defining-nvme-subsystem","https://www.ibm.com/docs/en/storage-ceph/9.9.1?topic=target-defining-nvme-subsystem")</f>
        <v/>
      </c>
    </row>
    <row r="1506" ht="18" customHeight="1">
      <c r="A1506" s="8" t="inlineStr">
        <is>
          <t>23.7.2</t>
        </is>
      </c>
      <c r="B1506" s="9" t="inlineStr">
        <is>
          <t xml:space="preserve">    Defining block devices to use NVMe/TCP</t>
        </is>
      </c>
      <c r="C1506" s="10">
        <f>HYPERLINK("https://www.ibm.com/docs/en/storage-ceph/9.9.1?topic=target-defining-block-devices-use-nvmetcp","https://www.ibm.com/docs/en/storage-ceph/9.9.1?topic=target-defining-block-devices-use-nvmetcp")</f>
        <v/>
      </c>
    </row>
    <row r="1507" ht="18" customHeight="1">
      <c r="A1507" s="8" t="inlineStr">
        <is>
          <t>23.7.2.1</t>
        </is>
      </c>
      <c r="B1507" s="9" t="inlineStr">
        <is>
          <t xml:space="preserve">      Expanding a block device image</t>
        </is>
      </c>
      <c r="C1507" s="10">
        <f>HYPERLINK("https://www.ibm.com/docs/en/storage-ceph/9.9.1?topic=nvmetcp-expanding-block-device-image","https://www.ibm.com/docs/en/storage-ceph/9.9.1?topic=nvmetcp-expanding-block-device-image")</f>
        <v/>
      </c>
    </row>
    <row r="1508" ht="18" customHeight="1">
      <c r="A1508" s="8" t="inlineStr">
        <is>
          <t>23.7.3</t>
        </is>
      </c>
      <c r="B1508" s="9" t="inlineStr">
        <is>
          <t xml:space="preserve">    Managing subsystems</t>
        </is>
      </c>
      <c r="C1508" s="10">
        <f>HYPERLINK("https://www.ibm.com/docs/en/storage-ceph/9.9.1?topic=target-managing-subsystems","https://www.ibm.com/docs/en/storage-ceph/9.9.1?topic=target-managing-subsystems")</f>
        <v/>
      </c>
    </row>
    <row r="1509" ht="18" customHeight="1">
      <c r="A1509" s="8" t="inlineStr">
        <is>
          <t>23.7.4</t>
        </is>
      </c>
      <c r="B1509" s="9" t="inlineStr">
        <is>
          <t xml:space="preserve">    Managing connections</t>
        </is>
      </c>
      <c r="C1509" s="10">
        <f>HYPERLINK("https://www.ibm.com/docs/en/storage-ceph/9.9.1?topic=target-managing-connections","https://www.ibm.com/docs/en/storage-ceph/9.9.1?topic=target-managing-connections")</f>
        <v/>
      </c>
    </row>
    <row r="1510" ht="18" customHeight="1">
      <c r="A1510" s="8" t="inlineStr">
        <is>
          <t>23.7.5</t>
        </is>
      </c>
      <c r="B1510" s="9" t="inlineStr">
        <is>
          <t xml:space="preserve">    Managing host access</t>
        </is>
      </c>
      <c r="C1510" s="10">
        <f>HYPERLINK("https://www.ibm.com/docs/en/storage-ceph/9.9.1?topic=target-managing-host-access","https://www.ibm.com/docs/en/storage-ceph/9.9.1?topic=target-managing-host-access")</f>
        <v/>
      </c>
    </row>
    <row r="1511" ht="18" customHeight="1">
      <c r="A1511" s="8" t="inlineStr">
        <is>
          <t>23.7.6</t>
        </is>
      </c>
      <c r="B1511" s="9" t="inlineStr">
        <is>
          <t xml:space="preserve">    Managing listeners</t>
        </is>
      </c>
      <c r="C1511" s="10">
        <f>HYPERLINK("https://www.ibm.com/docs/en/storage-ceph/9.9.1?topic=target-managing-listeners","https://www.ibm.com/docs/en/storage-ceph/9.9.1?topic=target-managing-listeners")</f>
        <v/>
      </c>
    </row>
    <row r="1512" ht="18" customHeight="1">
      <c r="A1512" s="8" t="inlineStr">
        <is>
          <t>23.7.7</t>
        </is>
      </c>
      <c r="B1512" s="9" t="inlineStr">
        <is>
          <t xml:space="preserve">    Managing namespaces</t>
        </is>
      </c>
      <c r="C1512" s="10">
        <f>HYPERLINK("https://www.ibm.com/docs/en/storage-ceph/9.9.1?topic=target-managing-namespaces","https://www.ibm.com/docs/en/storage-ceph/9.9.1?topic=target-managing-namespaces")</f>
        <v/>
      </c>
    </row>
    <row r="1513" ht="18" customHeight="1">
      <c r="A1513" s="8" t="inlineStr">
        <is>
          <t>23.7.8</t>
        </is>
      </c>
      <c r="B1513" s="9" t="inlineStr">
        <is>
          <t xml:space="preserve">    Managing masked namespaces</t>
        </is>
      </c>
      <c r="C1513" s="10">
        <f>HYPERLINK("https://www.ibm.com/docs/en/storage-ceph/9.9.1?topic=target-managing-masked-namespaces","https://www.ibm.com/docs/en/storage-ceph/9.9.1?topic=target-managing-masked-namespaces")</f>
        <v/>
      </c>
    </row>
    <row r="1514" ht="18" customHeight="1">
      <c r="A1514" s="5" t="inlineStr">
        <is>
          <t>23.8</t>
        </is>
      </c>
      <c r="B1514" s="6" t="inlineStr">
        <is>
          <t xml:space="preserve">  Configuring the NVMe-oF gateway initiator</t>
        </is>
      </c>
      <c r="C1514" s="7">
        <f>HYPERLINK("https://www.ibm.com/docs/en/storage-ceph/9.9.1?topic=gateway-configuring-nvme-initiator","https://www.ibm.com/docs/en/storage-ceph/9.9.1?topic=gateway-configuring-nvme-initiator")</f>
        <v/>
      </c>
    </row>
    <row r="1515" ht="18" customHeight="1">
      <c r="A1515" s="8" t="inlineStr">
        <is>
          <t>23.8.1</t>
        </is>
      </c>
      <c r="B1515" s="9" t="inlineStr">
        <is>
          <t xml:space="preserve">    Configuring the NVMe-oF initiator for Red Hat Enterprise Linux</t>
        </is>
      </c>
      <c r="C1515" s="10">
        <f>HYPERLINK("https://www.ibm.com/docs/en/storage-ceph/9.9.1?topic=initiator-configuring-nvme-red-hat-enterprise-linux","https://www.ibm.com/docs/en/storage-ceph/9.9.1?topic=initiator-configuring-nvme-red-hat-enterprise-linux")</f>
        <v/>
      </c>
    </row>
    <row r="1516" ht="18" customHeight="1">
      <c r="A1516" s="8" t="inlineStr">
        <is>
          <t>23.8.2</t>
        </is>
      </c>
      <c r="B1516" s="9" t="inlineStr">
        <is>
          <t xml:space="preserve">    Configuring the NVMe-oF initiator for VMware ESXi</t>
        </is>
      </c>
      <c r="C1516" s="10">
        <f>HYPERLINK("https://www.ibm.com/docs/en/storage-ceph/9.9.1?topic=initiator-configuring-nvme-vmware-esxi","https://www.ibm.com/docs/en/storage-ceph/9.9.1?topic=initiator-configuring-nvme-vmware-esxi")</f>
        <v/>
      </c>
    </row>
    <row r="1517" ht="18" customHeight="1">
      <c r="A1517" s="5" t="inlineStr">
        <is>
          <t>23.9</t>
        </is>
      </c>
      <c r="B1517" s="6" t="inlineStr">
        <is>
          <t xml:space="preserve">  Managing NVMe-oF gateways</t>
        </is>
      </c>
      <c r="C1517" s="7">
        <f>HYPERLINK("https://www.ibm.com/docs/en/storage-ceph/9.9.1?topic=gateway-managing-nvme-gateways","https://www.ibm.com/docs/en/storage-ceph/9.9.1?topic=gateway-managing-nvme-gateways")</f>
        <v/>
      </c>
    </row>
    <row r="1518" ht="18" customHeight="1">
      <c r="A1518" s="8" t="inlineStr">
        <is>
          <t>23.9.1</t>
        </is>
      </c>
      <c r="B1518" s="9" t="inlineStr">
        <is>
          <t xml:space="preserve">    Enabling and disabling NVMe-oF gateways</t>
        </is>
      </c>
      <c r="C1518" s="10">
        <f>HYPERLINK("https://www.ibm.com/docs/en/storage-ceph/9.9.1?topic=gateways-enabling-disabling-nvme","https://www.ibm.com/docs/en/storage-ceph/9.9.1?topic=gateways-enabling-disabling-nvme")</f>
        <v/>
      </c>
    </row>
    <row r="1519" ht="18" customHeight="1">
      <c r="A1519" s="8" t="inlineStr">
        <is>
          <t>23.9.2</t>
        </is>
      </c>
      <c r="B1519" s="9" t="inlineStr">
        <is>
          <t xml:space="preserve">    Monitoring NVMe-oF performance with ceph nvmeof top</t>
        </is>
      </c>
      <c r="C1519" s="10">
        <f>HYPERLINK("https://www.ibm.com/docs/en/storage-ceph/9.9.1?topic=gateways-monitoring-nvme-performance-ceph-nvmeof-top","https://www.ibm.com/docs/en/storage-ceph/9.9.1?topic=gateways-monitoring-nvme-performance-ceph-nvmeof-top")</f>
        <v/>
      </c>
    </row>
    <row r="1520" ht="18" customHeight="1">
      <c r="A1520" s="8" t="inlineStr">
        <is>
          <t>23.9.3</t>
        </is>
      </c>
      <c r="B1520" s="9" t="inlineStr">
        <is>
          <t xml:space="preserve">    Using ceph nvmeof commands for managing gateway information</t>
        </is>
      </c>
      <c r="C1520" s="10">
        <f>HYPERLINK("https://www.ibm.com/docs/en/storage-ceph/9.9.1?topic=gateways-using-ceph-nvmeof-commands-managing-gateway-information","https://www.ibm.com/docs/en/storage-ceph/9.9.1?topic=gateways-using-ceph-nvmeof-commands-managing-gateway-information")</f>
        <v/>
      </c>
    </row>
    <row r="1521" ht="18" customHeight="1">
      <c r="A1521" s="8" t="inlineStr">
        <is>
          <t>23.9.4</t>
        </is>
      </c>
      <c r="B1521" s="9" t="inlineStr">
        <is>
          <t xml:space="preserve">    Using load balancing with scale-up and scale-down</t>
        </is>
      </c>
      <c r="C1521" s="10">
        <f>HYPERLINK("https://www.ibm.com/docs/en/storage-ceph/9.9.1?topic=gateways-using-load-balancing-scale-up-scale-down","https://www.ibm.com/docs/en/storage-ceph/9.9.1?topic=gateways-using-load-balancing-scale-up-scale-down")</f>
        <v/>
      </c>
    </row>
    <row r="1522" ht="18" customHeight="1">
      <c r="A1522" s="8" t="inlineStr">
        <is>
          <t>23.9.5</t>
        </is>
      </c>
      <c r="B1522" s="9" t="inlineStr">
        <is>
          <t xml:space="preserve">    Managing NVMe-oF gateway host labels</t>
        </is>
      </c>
      <c r="C1522" s="10">
        <f>HYPERLINK("https://www.ibm.com/docs/en/storage-ceph/9.9.1?topic=gateways-managing-nvme-gateway-host-labels","https://www.ibm.com/docs/en/storage-ceph/9.9.1?topic=gateways-managing-nvme-gateway-host-labels")</f>
        <v/>
      </c>
    </row>
    <row r="1523" ht="18" customHeight="1">
      <c r="A1523" s="8" t="inlineStr">
        <is>
          <t>23.9.6</t>
        </is>
      </c>
      <c r="B1523" s="9" t="inlineStr">
        <is>
          <t xml:space="preserve">    Managing gateways with a specification file</t>
        </is>
      </c>
      <c r="C1523" s="10">
        <f>HYPERLINK("https://www.ibm.com/docs/en/storage-ceph/9.9.1?topic=gateways-managing-specification-file","https://www.ibm.com/docs/en/storage-ceph/9.9.1?topic=gateways-managing-specification-file")</f>
        <v/>
      </c>
    </row>
    <row r="1524" ht="18" customHeight="1">
      <c r="A1524" s="8" t="inlineStr">
        <is>
          <t>23.9.7</t>
        </is>
      </c>
      <c r="B1524" s="9" t="inlineStr">
        <is>
          <t xml:space="preserve">    Configuring TLS-PSK authentication for NVMe-oF</t>
        </is>
      </c>
      <c r="C1524" s="10">
        <f>HYPERLINK("https://www.ibm.com/docs/en/storage-ceph/9.9.1?topic=gateways-configuring-tls-psk-authentication-nvme","https://www.ibm.com/docs/en/storage-ceph/9.9.1?topic=gateways-configuring-tls-psk-authentication-nvme")</f>
        <v/>
      </c>
    </row>
    <row r="1525" ht="18" customHeight="1">
      <c r="A1525" s="5" t="inlineStr">
        <is>
          <t>23.10</t>
        </is>
      </c>
      <c r="B1525" s="6" t="inlineStr">
        <is>
          <t xml:space="preserve">  Removing the NVMe-oF service</t>
        </is>
      </c>
      <c r="C1525" s="7">
        <f>HYPERLINK("https://www.ibm.com/docs/en/storage-ceph/9.9.1?topic=gateway-removing-nvme-service","https://www.ibm.com/docs/en/storage-ceph/9.9.1?topic=gateway-removing-nvme-service")</f>
        <v/>
      </c>
    </row>
    <row r="1526" ht="18" customHeight="1">
      <c r="A1526" s="5" t="inlineStr">
        <is>
          <t>23.11</t>
        </is>
      </c>
      <c r="B1526" s="6" t="inlineStr">
        <is>
          <t xml:space="preserve">  Advanced configuration</t>
        </is>
      </c>
      <c r="C1526" s="7">
        <f>HYPERLINK("https://www.ibm.com/docs/en/storage-ceph/9.9.1?topic=gateway-advanced-configuration","https://www.ibm.com/docs/en/storage-ceph/9.9.1?topic=gateway-advanced-configuration")</f>
        <v/>
      </c>
    </row>
    <row r="1527" ht="18" customHeight="1">
      <c r="A1527" s="8" t="inlineStr">
        <is>
          <t>23.11.1</t>
        </is>
      </c>
      <c r="B1527" s="9" t="inlineStr">
        <is>
          <t xml:space="preserve">    Configuring Quality of Service</t>
        </is>
      </c>
      <c r="C1527" s="10">
        <f>HYPERLINK("https://www.ibm.com/docs/en/storage-ceph/9.9.1?topic=configuration-configuring-quality-service","https://www.ibm.com/docs/en/storage-ceph/9.9.1?topic=configuration-configuring-quality-service")</f>
        <v/>
      </c>
    </row>
    <row r="1528" ht="18" customHeight="1">
      <c r="A1528" s="8" t="inlineStr">
        <is>
          <t>23.11.2</t>
        </is>
      </c>
      <c r="B1528" s="9" t="inlineStr">
        <is>
          <t xml:space="preserve">    Managing SPDK logs</t>
        </is>
      </c>
      <c r="C1528" s="10">
        <f>HYPERLINK("https://www.ibm.com/docs/en/storage-ceph/9.9.1?topic=configuration-managing-spdk-logs","https://www.ibm.com/docs/en/storage-ceph/9.9.1?topic=configuration-managing-spdk-logs")</f>
        <v/>
      </c>
    </row>
    <row r="1529" ht="18" customHeight="1">
      <c r="A1529" s="5" t="inlineStr">
        <is>
          <t>23.12</t>
        </is>
      </c>
      <c r="B1529" s="6" t="inlineStr">
        <is>
          <t xml:space="preserve">  Using the nvmeof-cli utility for configuring and managing NVMe-oF gateways</t>
        </is>
      </c>
      <c r="C1529" s="7">
        <f>HYPERLINK("https://www.ibm.com/docs/en/storage-ceph/9.9.1?topic=cng-using-nvmeof-cli-utility-configuring-managing-nvme-gateways","https://www.ibm.com/docs/en/storage-ceph/9.9.1?topic=cng-using-nvmeof-cli-utility-configuring-managing-nvme-gateways")</f>
        <v/>
      </c>
    </row>
    <row r="1530" ht="18" customHeight="1">
      <c r="A1530" s="8" t="inlineStr">
        <is>
          <t>23.12.1</t>
        </is>
      </c>
      <c r="B1530" s="9" t="inlineStr">
        <is>
          <t xml:space="preserve">    Configuring the NVMe-oF gateway target with nvmeof-cli</t>
        </is>
      </c>
      <c r="C1530" s="10">
        <f>HYPERLINK("https://www.ibm.com/docs/en/storage-ceph/9.9.1?topic=gateways-configuring-nvme-gateway-target-nvmeof-cli","https://www.ibm.com/docs/en/storage-ceph/9.9.1?topic=gateways-configuring-nvme-gateway-target-nvmeof-cli")</f>
        <v/>
      </c>
    </row>
    <row r="1531" ht="18" customHeight="1">
      <c r="A1531" s="8" t="inlineStr">
        <is>
          <t>23.12.1.1</t>
        </is>
      </c>
      <c r="B1531" s="9" t="inlineStr">
        <is>
          <t xml:space="preserve">      Defining an NVMe-oF subsystem with nvmeof-cli</t>
        </is>
      </c>
      <c r="C1531" s="10">
        <f>HYPERLINK("https://www.ibm.com/docs/en/storage-ceph/9.9.1?topic=cli-defining-nvme-subsystem-nvmeof","https://www.ibm.com/docs/en/storage-ceph/9.9.1?topic=cli-defining-nvme-subsystem-nvmeof")</f>
        <v/>
      </c>
    </row>
    <row r="1532" ht="18" customHeight="1">
      <c r="A1532" s="8" t="inlineStr">
        <is>
          <t>23.12.1.2</t>
        </is>
      </c>
      <c r="B1532" s="9" t="inlineStr">
        <is>
          <t xml:space="preserve">      Defining block devices to use NVMe/TCP with nvmeof-cli</t>
        </is>
      </c>
      <c r="C1532" s="10">
        <f>HYPERLINK("https://www.ibm.com/docs/en/storage-ceph/9.9.1?topic=cli-defining-block-devices-use-nvmetcp-nvmeof","https://www.ibm.com/docs/en/storage-ceph/9.9.1?topic=cli-defining-block-devices-use-nvmetcp-nvmeof")</f>
        <v/>
      </c>
    </row>
    <row r="1533" ht="18" customHeight="1">
      <c r="A1533" s="8" t="inlineStr">
        <is>
          <t>23.12.1.2.1</t>
        </is>
      </c>
      <c r="B1533" s="9" t="inlineStr">
        <is>
          <t xml:space="preserve">        Expanding a block device image with nvmeof-cli</t>
        </is>
      </c>
      <c r="C1533" s="10">
        <f>HYPERLINK("https://www.ibm.com/docs/en/storage-ceph/9.9.1?topic=cli-expanding-block-device-image-nvmeof","https://www.ibm.com/docs/en/storage-ceph/9.9.1?topic=cli-expanding-block-device-image-nvmeof")</f>
        <v/>
      </c>
    </row>
    <row r="1534" ht="18" customHeight="1">
      <c r="A1534" s="8" t="inlineStr">
        <is>
          <t>23.12.1.3</t>
        </is>
      </c>
      <c r="B1534" s="9" t="inlineStr">
        <is>
          <t xml:space="preserve">      Managing subsystems with nvmeof-cli</t>
        </is>
      </c>
      <c r="C1534" s="10">
        <f>HYPERLINK("https://www.ibm.com/docs/en/storage-ceph/9.9.1?topic=cli-managing-subsystems-nvmeof","https://www.ibm.com/docs/en/storage-ceph/9.9.1?topic=cli-managing-subsystems-nvmeof")</f>
        <v/>
      </c>
    </row>
    <row r="1535" ht="18" customHeight="1">
      <c r="A1535" s="8" t="inlineStr">
        <is>
          <t>23.12.1.4</t>
        </is>
      </c>
      <c r="B1535" s="9" t="inlineStr">
        <is>
          <t xml:space="preserve">      Managing connections with nvmeof-cli</t>
        </is>
      </c>
      <c r="C1535" s="10">
        <f>HYPERLINK("https://www.ibm.com/docs/en/storage-ceph/9.9.1?topic=cli-managing-connections-nvmeof","https://www.ibm.com/docs/en/storage-ceph/9.9.1?topic=cli-managing-connections-nvmeof")</f>
        <v/>
      </c>
    </row>
    <row r="1536" ht="18" customHeight="1">
      <c r="A1536" s="8" t="inlineStr">
        <is>
          <t>23.12.1.5</t>
        </is>
      </c>
      <c r="B1536" s="9" t="inlineStr">
        <is>
          <t xml:space="preserve">      Managing host access with nvmeof-cli</t>
        </is>
      </c>
      <c r="C1536" s="10">
        <f>HYPERLINK("https://www.ibm.com/docs/en/storage-ceph/9.9.1?topic=cli-managing-host-access-nvmeof","https://www.ibm.com/docs/en/storage-ceph/9.9.1?topic=cli-managing-host-access-nvmeof")</f>
        <v/>
      </c>
    </row>
    <row r="1537" ht="18" customHeight="1">
      <c r="A1537" s="8" t="inlineStr">
        <is>
          <t>23.12.1.6</t>
        </is>
      </c>
      <c r="B1537" s="9" t="inlineStr">
        <is>
          <t xml:space="preserve">      Managing listeners with nvmeof-cli</t>
        </is>
      </c>
      <c r="C1537" s="10">
        <f>HYPERLINK("https://www.ibm.com/docs/en/storage-ceph/9.9.1?topic=cli-managing-listeners-nvmeof","https://www.ibm.com/docs/en/storage-ceph/9.9.1?topic=cli-managing-listeners-nvmeof")</f>
        <v/>
      </c>
    </row>
    <row r="1538" ht="18" customHeight="1">
      <c r="A1538" s="8" t="inlineStr">
        <is>
          <t>23.12.1.7</t>
        </is>
      </c>
      <c r="B1538" s="9" t="inlineStr">
        <is>
          <t xml:space="preserve">      Managing namespaces with nvmeof-cli</t>
        </is>
      </c>
      <c r="C1538" s="10">
        <f>HYPERLINK("https://www.ibm.com/docs/en/storage-ceph/9.9.1?topic=cli-managing-namespaces-nvmeof","https://www.ibm.com/docs/en/storage-ceph/9.9.1?topic=cli-managing-namespaces-nvmeof")</f>
        <v/>
      </c>
    </row>
    <row r="1539" ht="18" customHeight="1">
      <c r="A1539" s="8" t="inlineStr">
        <is>
          <t>23.12.1.8</t>
        </is>
      </c>
      <c r="B1539" s="9" t="inlineStr">
        <is>
          <t xml:space="preserve">      Managing masked namespaces with nvmeof-cli</t>
        </is>
      </c>
      <c r="C1539" s="10">
        <f>HYPERLINK("https://www.ibm.com/docs/en/storage-ceph/9.9.1?topic=cli-managing-masked-namespaces-nvmeof","https://www.ibm.com/docs/en/storage-ceph/9.9.1?topic=cli-managing-masked-namespaces-nvmeof")</f>
        <v/>
      </c>
    </row>
    <row r="1540" ht="18" customHeight="1">
      <c r="A1540" s="8" t="inlineStr">
        <is>
          <t>23.12.2</t>
        </is>
      </c>
      <c r="B1540" s="9" t="inlineStr">
        <is>
          <t xml:space="preserve">    Managing NVMe-oF gateways with nvmeof-cli</t>
        </is>
      </c>
      <c r="C1540" s="10">
        <f>HYPERLINK("https://www.ibm.com/docs/en/storage-ceph/9.9.1?topic=gateways-managing-nvme-nvmeof-cli","https://www.ibm.com/docs/en/storage-ceph/9.9.1?topic=gateways-managing-nvme-nvmeof-cli")</f>
        <v/>
      </c>
    </row>
    <row r="1541" ht="18" customHeight="1">
      <c r="A1541" s="8" t="inlineStr">
        <is>
          <t>23.12.2.1</t>
        </is>
      </c>
      <c r="B1541" s="9" t="inlineStr">
        <is>
          <t xml:space="preserve">      Using nvmeof-cli utility commands for managing gateway information</t>
        </is>
      </c>
      <c r="C1541" s="10">
        <f>HYPERLINK("https://www.ibm.com/docs/en/storage-ceph/9.9.1?topic=mngnc-using-nvmeof-cli-utility-commands-managing-gateway-information","https://www.ibm.com/docs/en/storage-ceph/9.9.1?topic=mngnc-using-nvmeof-cli-utility-commands-managing-gateway-information")</f>
        <v/>
      </c>
    </row>
    <row r="1542" ht="18" customHeight="1">
      <c r="A1542" s="8" t="inlineStr">
        <is>
          <t>23.12.2.2</t>
        </is>
      </c>
      <c r="B1542" s="9" t="inlineStr">
        <is>
          <t xml:space="preserve">      Using load balancing with scale-up and scale-down with nvmeof-cli</t>
        </is>
      </c>
      <c r="C1542" s="10">
        <f>HYPERLINK("https://www.ibm.com/docs/en/storage-ceph/9.9.1?topic=mngnc-using-load-balancing-scale-up-scale-down-nvmeof-cli","https://www.ibm.com/docs/en/storage-ceph/9.9.1?topic=mngnc-using-load-balancing-scale-up-scale-down-nvmeof-cli")</f>
        <v/>
      </c>
    </row>
    <row r="1543" ht="18" customHeight="1">
      <c r="A1543" s="8" t="inlineStr">
        <is>
          <t>23.12.3</t>
        </is>
      </c>
      <c r="B1543" s="9" t="inlineStr">
        <is>
          <t xml:space="preserve">    Removing the NVMe-oF service with nvmeof-cli</t>
        </is>
      </c>
      <c r="C1543" s="10">
        <f>HYPERLINK("https://www.ibm.com/docs/en/storage-ceph/9.9.1?topic=gateways-removing-nvme-service-nvmeof-cli","https://www.ibm.com/docs/en/storage-ceph/9.9.1?topic=gateways-removing-nvme-service-nvmeof-cli")</f>
        <v/>
      </c>
    </row>
    <row r="1544" ht="18" customHeight="1">
      <c r="A1544" s="8" t="inlineStr">
        <is>
          <t>23.12.4</t>
        </is>
      </c>
      <c r="B1544" s="9" t="inlineStr">
        <is>
          <t xml:space="preserve">    Advanced configuration with nvmeof-cli</t>
        </is>
      </c>
      <c r="C1544" s="10">
        <f>HYPERLINK("https://www.ibm.com/docs/en/storage-ceph/9.9.1?topic=gateways-advanced-configuration-nvmeof-cli","https://www.ibm.com/docs/en/storage-ceph/9.9.1?topic=gateways-advanced-configuration-nvmeof-cli")</f>
        <v/>
      </c>
    </row>
    <row r="1545" ht="18" customHeight="1">
      <c r="A1545" s="8" t="inlineStr">
        <is>
          <t>23.12.4.1</t>
        </is>
      </c>
      <c r="B1545" s="9" t="inlineStr">
        <is>
          <t xml:space="preserve">      Configuring Quality of Service with nvmeof-cli</t>
        </is>
      </c>
      <c r="C1545" s="10">
        <f>HYPERLINK("https://www.ibm.com/docs/en/storage-ceph/9.9.1?topic=cli-configuring-quality-service-nvmeof","https://www.ibm.com/docs/en/storage-ceph/9.9.1?topic=cli-configuring-quality-service-nvmeof")</f>
        <v/>
      </c>
    </row>
    <row r="1546" ht="18" customHeight="1">
      <c r="A1546" s="8" t="inlineStr">
        <is>
          <t>23.12.4.2</t>
        </is>
      </c>
      <c r="B1546" s="9" t="inlineStr">
        <is>
          <t xml:space="preserve">      Managing SPDK logs with nvmeof-cli</t>
        </is>
      </c>
      <c r="C1546" s="10">
        <f>HYPERLINK("https://www.ibm.com/docs/en/storage-ceph/9.9.1?topic=cli-managing-spdk-logs-nvmeof","https://www.ibm.com/docs/en/storage-ceph/9.9.1?topic=cli-managing-spdk-logs-nvmeof")</f>
        <v/>
      </c>
    </row>
    <row r="1547" ht="18" customHeight="1">
      <c r="A1547" s="2" t="inlineStr">
        <is>
          <t>24</t>
        </is>
      </c>
      <c r="B1547" s="3" t="inlineStr">
        <is>
          <t>Developer</t>
        </is>
      </c>
      <c r="C1547" s="4">
        <f>HYPERLINK("https://www.ibm.com/docs/en/storage-ceph/9.9.1?topic=developer","https://www.ibm.com/docs/en/storage-ceph/9.9.1?topic=developer")</f>
        <v/>
      </c>
    </row>
    <row r="1548" ht="18" customHeight="1">
      <c r="A1548" s="5" t="inlineStr">
        <is>
          <t>24.1</t>
        </is>
      </c>
      <c r="B1548" s="6" t="inlineStr">
        <is>
          <t xml:space="preserve">  Ceph RESTful API</t>
        </is>
      </c>
      <c r="C1548" s="7">
        <f>HYPERLINK("https://www.ibm.com/docs/en/storage-ceph/9.9.1?topic=developer-ceph-restful-api","https://www.ibm.com/docs/en/storage-ceph/9.9.1?topic=developer-ceph-restful-api")</f>
        <v/>
      </c>
    </row>
    <row r="1549" ht="18" customHeight="1">
      <c r="A1549" s="8" t="inlineStr">
        <is>
          <t>24.1.1</t>
        </is>
      </c>
      <c r="B1549" s="9" t="inlineStr">
        <is>
          <t xml:space="preserve">    Versioning for the Ceph API</t>
        </is>
      </c>
      <c r="C1549" s="10">
        <f>HYPERLINK("https://www.ibm.com/docs/en/storage-ceph/9.9.1?topic=api-versioning-ceph","https://www.ibm.com/docs/en/storage-ceph/9.9.1?topic=api-versioning-ceph")</f>
        <v/>
      </c>
    </row>
    <row r="1550" ht="18" customHeight="1">
      <c r="A1550" s="8" t="inlineStr">
        <is>
          <t>24.1.2</t>
        </is>
      </c>
      <c r="B1550" s="9" t="inlineStr">
        <is>
          <t xml:space="preserve">    Authentication and authorization for the Ceph API</t>
        </is>
      </c>
      <c r="C1550" s="10">
        <f>HYPERLINK("https://www.ibm.com/docs/en/storage-ceph/9.9.1?topic=api-authentication-authorization-ceph","https://www.ibm.com/docs/en/storage-ceph/9.9.1?topic=api-authentication-authorization-ceph")</f>
        <v/>
      </c>
    </row>
    <row r="1551" ht="18" customHeight="1">
      <c r="A1551" s="8" t="inlineStr">
        <is>
          <t>24.1.3</t>
        </is>
      </c>
      <c r="B1551" s="9" t="inlineStr">
        <is>
          <t xml:space="preserve">    Enabling and Securing the Ceph API module</t>
        </is>
      </c>
      <c r="C1551" s="10">
        <f>HYPERLINK("https://www.ibm.com/docs/en/storage-ceph/9.9.1?topic=api-enabling-securing-ceph-module","https://www.ibm.com/docs/en/storage-ceph/9.9.1?topic=api-enabling-securing-ceph-module")</f>
        <v/>
      </c>
    </row>
    <row r="1552" ht="18" customHeight="1">
      <c r="A1552" s="8" t="inlineStr">
        <is>
          <t>24.1.4</t>
        </is>
      </c>
      <c r="B1552" s="9" t="inlineStr">
        <is>
          <t xml:space="preserve">    Using the Ceph RESTful API</t>
        </is>
      </c>
      <c r="C1552" s="10">
        <f>HYPERLINK("https://www.ibm.com/docs/en/storage-ceph/9.9.1?topic=api-using-ceph-restful","https://www.ibm.com/docs/en/storage-ceph/9.9.1?topic=api-using-ceph-restful")</f>
        <v/>
      </c>
    </row>
    <row r="1553" ht="18" customHeight="1">
      <c r="A1553" s="8" t="inlineStr">
        <is>
          <t>24.1.4.1</t>
        </is>
      </c>
      <c r="B1553" s="9" t="inlineStr">
        <is>
          <t xml:space="preserve">      Viewing cluster configuration options</t>
        </is>
      </c>
      <c r="C1553" s="10">
        <f>HYPERLINK("https://www.ibm.com/docs/en/storage-ceph/9.9.1?topic=api-viewing-cluster-configuration-options","https://www.ibm.com/docs/en/storage-ceph/9.9.1?topic=api-viewing-cluster-configuration-options")</f>
        <v/>
      </c>
    </row>
    <row r="1554" ht="18" customHeight="1">
      <c r="A1554" s="8" t="inlineStr">
        <is>
          <t>24.1.4.2</t>
        </is>
      </c>
      <c r="B1554" s="9" t="inlineStr">
        <is>
          <t xml:space="preserve">      Viewing a particular cluster configuration option</t>
        </is>
      </c>
      <c r="C1554" s="10">
        <f>HYPERLINK("https://www.ibm.com/docs/en/storage-ceph/9.9.1?topic=api-viewing-particular-cluster-configuration-option","https://www.ibm.com/docs/en/storage-ceph/9.9.1?topic=api-viewing-particular-cluster-configuration-option")</f>
        <v/>
      </c>
    </row>
    <row r="1555" ht="18" customHeight="1">
      <c r="A1555" s="8" t="inlineStr">
        <is>
          <t>24.1.4.3</t>
        </is>
      </c>
      <c r="B1555" s="9" t="inlineStr">
        <is>
          <t xml:space="preserve">      Viewing all configuration options for OSDs</t>
        </is>
      </c>
      <c r="C1555" s="10">
        <f>HYPERLINK("https://www.ibm.com/docs/en/storage-ceph/9.9.1?topic=api-viewing-all-configuration-options-osds","https://www.ibm.com/docs/en/storage-ceph/9.9.1?topic=api-viewing-all-configuration-options-osds")</f>
        <v/>
      </c>
    </row>
    <row r="1556" ht="18" customHeight="1">
      <c r="A1556" s="8" t="inlineStr">
        <is>
          <t>24.1.4.4</t>
        </is>
      </c>
      <c r="B1556" s="9" t="inlineStr">
        <is>
          <t xml:space="preserve">      Viewing CRUSH rules</t>
        </is>
      </c>
      <c r="C1556" s="10">
        <f>HYPERLINK("https://www.ibm.com/docs/en/storage-ceph/9.9.1?topic=api-viewing-crush-rules","https://www.ibm.com/docs/en/storage-ceph/9.9.1?topic=api-viewing-crush-rules")</f>
        <v/>
      </c>
    </row>
    <row r="1557" ht="18" customHeight="1">
      <c r="A1557" s="8" t="inlineStr">
        <is>
          <t>24.1.4.5</t>
        </is>
      </c>
      <c r="B1557" s="9" t="inlineStr">
        <is>
          <t xml:space="preserve">      Viewing Monitor information</t>
        </is>
      </c>
      <c r="C1557" s="10">
        <f>HYPERLINK("https://www.ibm.com/docs/en/storage-ceph/9.9.1?topic=api-viewing-monitor-information","https://www.ibm.com/docs/en/storage-ceph/9.9.1?topic=api-viewing-monitor-information")</f>
        <v/>
      </c>
    </row>
    <row r="1558" ht="18" customHeight="1">
      <c r="A1558" s="8" t="inlineStr">
        <is>
          <t>24.1.4.6</t>
        </is>
      </c>
      <c r="B1558" s="9" t="inlineStr">
        <is>
          <t xml:space="preserve">      Viewing information about a particular Monitor</t>
        </is>
      </c>
      <c r="C1558" s="10">
        <f>HYPERLINK("https://www.ibm.com/docs/en/storage-ceph/9.9.1?topic=api-viewing-information-about-particular-monitor","https://www.ibm.com/docs/en/storage-ceph/9.9.1?topic=api-viewing-information-about-particular-monitor")</f>
        <v/>
      </c>
    </row>
    <row r="1559" ht="18" customHeight="1">
      <c r="A1559" s="8" t="inlineStr">
        <is>
          <t>24.1.4.7</t>
        </is>
      </c>
      <c r="B1559" s="9" t="inlineStr">
        <is>
          <t xml:space="preserve">      Viewing OSD information</t>
        </is>
      </c>
      <c r="C1559" s="10">
        <f>HYPERLINK("https://www.ibm.com/docs/en/storage-ceph/9.9.1?topic=api-viewing-osd-information","https://www.ibm.com/docs/en/storage-ceph/9.9.1?topic=api-viewing-osd-information")</f>
        <v/>
      </c>
    </row>
    <row r="1560" ht="18" customHeight="1">
      <c r="A1560" s="8" t="inlineStr">
        <is>
          <t>24.1.4.8</t>
        </is>
      </c>
      <c r="B1560" s="9" t="inlineStr">
        <is>
          <t xml:space="preserve">      Viewing information about a particular OSD</t>
        </is>
      </c>
      <c r="C1560" s="10">
        <f>HYPERLINK("https://www.ibm.com/docs/en/storage-ceph/9.9.1?topic=api-viewing-information-about-particular-osd","https://www.ibm.com/docs/en/storage-ceph/9.9.1?topic=api-viewing-information-about-particular-osd")</f>
        <v/>
      </c>
    </row>
    <row r="1561" ht="18" customHeight="1">
      <c r="A1561" s="8" t="inlineStr">
        <is>
          <t>24.1.4.9</t>
        </is>
      </c>
      <c r="B1561" s="9" t="inlineStr">
        <is>
          <t xml:space="preserve">      Determining processes that can be scheduled on an OSD</t>
        </is>
      </c>
      <c r="C1561" s="10">
        <f>HYPERLINK("https://www.ibm.com/docs/en/storage-ceph/9.9.1?topic=api-determining-processes-that-can-be-scheduled-osd","https://www.ibm.com/docs/en/storage-ceph/9.9.1?topic=api-determining-processes-that-can-be-scheduled-osd")</f>
        <v/>
      </c>
    </row>
    <row r="1562" ht="18" customHeight="1">
      <c r="A1562" s="8" t="inlineStr">
        <is>
          <t>24.1.4.10</t>
        </is>
      </c>
      <c r="B1562" s="9" t="inlineStr">
        <is>
          <t xml:space="preserve">      Viewing pool information</t>
        </is>
      </c>
      <c r="C1562" s="10">
        <f>HYPERLINK("https://www.ibm.com/docs/en/storage-ceph/9.9.1?topic=api-viewing-pool-information","https://www.ibm.com/docs/en/storage-ceph/9.9.1?topic=api-viewing-pool-information")</f>
        <v/>
      </c>
    </row>
    <row r="1563" ht="18" customHeight="1">
      <c r="A1563" s="8" t="inlineStr">
        <is>
          <t>24.1.4.11</t>
        </is>
      </c>
      <c r="B1563" s="9" t="inlineStr">
        <is>
          <t xml:space="preserve">      Viewing information about a particular pool</t>
        </is>
      </c>
      <c r="C1563" s="10">
        <f>HYPERLINK("https://www.ibm.com/docs/en/storage-ceph/9.9.1?topic=api-viewing-information-about-particular-pool","https://www.ibm.com/docs/en/storage-ceph/9.9.1?topic=api-viewing-information-about-particular-pool")</f>
        <v/>
      </c>
    </row>
    <row r="1564" ht="18" customHeight="1">
      <c r="A1564" s="8" t="inlineStr">
        <is>
          <t>24.1.4.12</t>
        </is>
      </c>
      <c r="B1564" s="9" t="inlineStr">
        <is>
          <t xml:space="preserve">      Viewing host information</t>
        </is>
      </c>
      <c r="C1564" s="10">
        <f>HYPERLINK("https://www.ibm.com/docs/en/storage-ceph/9.9.1?topic=api-viewing-host-information","https://www.ibm.com/docs/en/storage-ceph/9.9.1?topic=api-viewing-host-information")</f>
        <v/>
      </c>
    </row>
    <row r="1565" ht="18" customHeight="1">
      <c r="A1565" s="8" t="inlineStr">
        <is>
          <t>24.1.4.13</t>
        </is>
      </c>
      <c r="B1565" s="9" t="inlineStr">
        <is>
          <t xml:space="preserve">      Viewing information about a particular host</t>
        </is>
      </c>
      <c r="C1565" s="10">
        <f>HYPERLINK("https://www.ibm.com/docs/en/storage-ceph/9.9.1?topic=api-viewing-information-about-particular-host","https://www.ibm.com/docs/en/storage-ceph/9.9.1?topic=api-viewing-information-about-particular-host")</f>
        <v/>
      </c>
    </row>
    <row r="1566" ht="18" customHeight="1">
      <c r="A1566" s="8" t="inlineStr">
        <is>
          <t>24.1.5</t>
        </is>
      </c>
      <c r="B1566" s="9" t="inlineStr">
        <is>
          <t xml:space="preserve">    Changing OSD configurations</t>
        </is>
      </c>
      <c r="C1566" s="10">
        <f>HYPERLINK("https://www.ibm.com/docs/en/storage-ceph/9.9.1?topic=api-changing-osd-configurations","https://www.ibm.com/docs/en/storage-ceph/9.9.1?topic=api-changing-osd-configurations")</f>
        <v/>
      </c>
    </row>
    <row r="1567" ht="18" customHeight="1">
      <c r="A1567" s="8" t="inlineStr">
        <is>
          <t>24.1.5.1</t>
        </is>
      </c>
      <c r="B1567" s="9" t="inlineStr">
        <is>
          <t xml:space="preserve">      Changing OSD configuration options</t>
        </is>
      </c>
      <c r="C1567" s="10">
        <f>HYPERLINK("https://www.ibm.com/docs/en/storage-ceph/9.9.1?topic=configurations-changing-osd-configuration-options","https://www.ibm.com/docs/en/storage-ceph/9.9.1?topic=configurations-changing-osd-configuration-options")</f>
        <v/>
      </c>
    </row>
    <row r="1568" ht="18" customHeight="1">
      <c r="A1568" s="8" t="inlineStr">
        <is>
          <t>24.1.5.2</t>
        </is>
      </c>
      <c r="B1568" s="9" t="inlineStr">
        <is>
          <t xml:space="preserve">      Changing an OSD state</t>
        </is>
      </c>
      <c r="C1568" s="10">
        <f>HYPERLINK("https://www.ibm.com/docs/en/storage-ceph/9.9.1?topic=configurations-changing-osd-state","https://www.ibm.com/docs/en/storage-ceph/9.9.1?topic=configurations-changing-osd-state")</f>
        <v/>
      </c>
    </row>
    <row r="1569" ht="18" customHeight="1">
      <c r="A1569" s="8" t="inlineStr">
        <is>
          <t>24.1.5.3</t>
        </is>
      </c>
      <c r="B1569" s="9" t="inlineStr">
        <is>
          <t xml:space="preserve">      Changing the weight of an OSD</t>
        </is>
      </c>
      <c r="C1569" s="10">
        <f>HYPERLINK("https://www.ibm.com/docs/en/storage-ceph/9.9.1?topic=configurations-changing-weight-osd","https://www.ibm.com/docs/en/storage-ceph/9.9.1?topic=configurations-changing-weight-osd")</f>
        <v/>
      </c>
    </row>
    <row r="1570" ht="18" customHeight="1">
      <c r="A1570" s="8" t="inlineStr">
        <is>
          <t>24.1.5.4</t>
        </is>
      </c>
      <c r="B1570" s="9" t="inlineStr">
        <is>
          <t xml:space="preserve">      Changing pool information</t>
        </is>
      </c>
      <c r="C1570" s="10">
        <f>HYPERLINK("https://www.ibm.com/docs/en/storage-ceph/9.9.1?topic=configurations-changing-pool-information","https://www.ibm.com/docs/en/storage-ceph/9.9.1?topic=configurations-changing-pool-information")</f>
        <v/>
      </c>
    </row>
    <row r="1571" ht="18" customHeight="1">
      <c r="A1571" s="8" t="inlineStr">
        <is>
          <t>24.1.6</t>
        </is>
      </c>
      <c r="B1571" s="9" t="inlineStr">
        <is>
          <t xml:space="preserve">    Administering the cluster</t>
        </is>
      </c>
      <c r="C1571" s="10">
        <f>HYPERLINK("https://www.ibm.com/docs/en/storage-ceph/9.9.1?topic=api-administering-cluster","https://www.ibm.com/docs/en/storage-ceph/9.9.1?topic=api-administering-cluster")</f>
        <v/>
      </c>
    </row>
    <row r="1572" ht="18" customHeight="1">
      <c r="A1572" s="8" t="inlineStr">
        <is>
          <t>24.1.6.1</t>
        </is>
      </c>
      <c r="B1572" s="9" t="inlineStr">
        <is>
          <t xml:space="preserve">      Running a scheduled process on an OSD</t>
        </is>
      </c>
      <c r="C1572" s="10">
        <f>HYPERLINK("https://www.ibm.com/docs/en/storage-ceph/9.9.1?topic=cluster-running-scheduled-process-osd","https://www.ibm.com/docs/en/storage-ceph/9.9.1?topic=cluster-running-scheduled-process-osd")</f>
        <v/>
      </c>
    </row>
    <row r="1573" ht="18" customHeight="1">
      <c r="A1573" s="8" t="inlineStr">
        <is>
          <t>24.1.6.2</t>
        </is>
      </c>
      <c r="B1573" s="9" t="inlineStr">
        <is>
          <t xml:space="preserve">      Creating a pool</t>
        </is>
      </c>
      <c r="C1573" s="10">
        <f>HYPERLINK("https://www.ibm.com/docs/en/storage-ceph/9.9.1?topic=cluster-creating-pool","https://www.ibm.com/docs/en/storage-ceph/9.9.1?topic=cluster-creating-pool")</f>
        <v/>
      </c>
    </row>
    <row r="1574" ht="18" customHeight="1">
      <c r="A1574" s="8" t="inlineStr">
        <is>
          <t>24.1.6.3</t>
        </is>
      </c>
      <c r="B1574" s="9" t="inlineStr">
        <is>
          <t xml:space="preserve">      Removing a pool</t>
        </is>
      </c>
      <c r="C1574" s="10">
        <f>HYPERLINK("https://www.ibm.com/docs/en/storage-ceph/9.9.1?topic=cluster-removing-pool","https://www.ibm.com/docs/en/storage-ceph/9.9.1?topic=cluster-removing-pool")</f>
        <v/>
      </c>
    </row>
    <row r="1575" ht="18" customHeight="1">
      <c r="A1575" s="5" t="inlineStr">
        <is>
          <t>24.2</t>
        </is>
      </c>
      <c r="B1575" s="6" t="inlineStr">
        <is>
          <t xml:space="preserve">  Ceph Object Gateway administrative API</t>
        </is>
      </c>
      <c r="C1575" s="7">
        <f>HYPERLINK("https://www.ibm.com/docs/en/storage-ceph/9.9.1?topic=developer-ceph-object-gateway-administrative-api","https://www.ibm.com/docs/en/storage-ceph/9.9.1?topic=developer-ceph-object-gateway-administrative-api")</f>
        <v/>
      </c>
    </row>
    <row r="1576" ht="18" customHeight="1">
      <c r="A1576" s="8" t="inlineStr">
        <is>
          <t>24.2.1</t>
        </is>
      </c>
      <c r="B1576" s="9" t="inlineStr">
        <is>
          <t xml:space="preserve">    Administration operations</t>
        </is>
      </c>
      <c r="C1576" s="10">
        <f>HYPERLINK("https://www.ibm.com/docs/en/storage-ceph/9.9.1?topic=api-administration-operations","https://www.ibm.com/docs/en/storage-ceph/9.9.1?topic=api-administration-operations")</f>
        <v/>
      </c>
    </row>
    <row r="1577" ht="18" customHeight="1">
      <c r="A1577" s="8" t="inlineStr">
        <is>
          <t>24.2.2</t>
        </is>
      </c>
      <c r="B1577" s="9" t="inlineStr">
        <is>
          <t xml:space="preserve">    Administration authentication requests</t>
        </is>
      </c>
      <c r="C1577" s="10">
        <f>HYPERLINK("https://www.ibm.com/docs/en/storage-ceph/9.9.1?topic=api-administration-authentication-requests","https://www.ibm.com/docs/en/storage-ceph/9.9.1?topic=api-administration-authentication-requests")</f>
        <v/>
      </c>
    </row>
    <row r="1578" ht="18" customHeight="1">
      <c r="A1578" s="8" t="inlineStr">
        <is>
          <t>24.2.3</t>
        </is>
      </c>
      <c r="B1578" s="9" t="inlineStr">
        <is>
          <t xml:space="preserve">    Creating an administrative user</t>
        </is>
      </c>
      <c r="C1578" s="10">
        <f>HYPERLINK("https://www.ibm.com/docs/en/storage-ceph/9.9.1?topic=api-creating-administrative-user","https://www.ibm.com/docs/en/storage-ceph/9.9.1?topic=api-creating-administrative-user")</f>
        <v/>
      </c>
    </row>
    <row r="1579" ht="18" customHeight="1">
      <c r="A1579" s="8" t="inlineStr">
        <is>
          <t>24.2.4</t>
        </is>
      </c>
      <c r="B1579" s="9" t="inlineStr">
        <is>
          <t xml:space="preserve">    Get user information</t>
        </is>
      </c>
      <c r="C1579" s="10">
        <f>HYPERLINK("https://www.ibm.com/docs/en/storage-ceph/9.9.1?topic=api-get-user-information","https://www.ibm.com/docs/en/storage-ceph/9.9.1?topic=api-get-user-information")</f>
        <v/>
      </c>
    </row>
    <row r="1580" ht="18" customHeight="1">
      <c r="A1580" s="8" t="inlineStr">
        <is>
          <t>24.2.5</t>
        </is>
      </c>
      <c r="B1580" s="9" t="inlineStr">
        <is>
          <t xml:space="preserve">    Create a user</t>
        </is>
      </c>
      <c r="C1580" s="10">
        <f>HYPERLINK("https://www.ibm.com/docs/en/storage-ceph/9.9.1?topic=api-create-user","https://www.ibm.com/docs/en/storage-ceph/9.9.1?topic=api-create-user")</f>
        <v/>
      </c>
    </row>
    <row r="1581" ht="18" customHeight="1">
      <c r="A1581" s="8" t="inlineStr">
        <is>
          <t>24.2.6</t>
        </is>
      </c>
      <c r="B1581" s="9" t="inlineStr">
        <is>
          <t xml:space="preserve">    Modify a user</t>
        </is>
      </c>
      <c r="C1581" s="10">
        <f>HYPERLINK("https://www.ibm.com/docs/en/storage-ceph/9.9.1?topic=api-modify-user","https://www.ibm.com/docs/en/storage-ceph/9.9.1?topic=api-modify-user")</f>
        <v/>
      </c>
    </row>
    <row r="1582" ht="18" customHeight="1">
      <c r="A1582" s="8" t="inlineStr">
        <is>
          <t>24.2.7</t>
        </is>
      </c>
      <c r="B1582" s="9" t="inlineStr">
        <is>
          <t xml:space="preserve">    Remove a user</t>
        </is>
      </c>
      <c r="C1582" s="10">
        <f>HYPERLINK("https://www.ibm.com/docs/en/storage-ceph/9.9.1?topic=api-remove-user","https://www.ibm.com/docs/en/storage-ceph/9.9.1?topic=api-remove-user")</f>
        <v/>
      </c>
    </row>
    <row r="1583" ht="18" customHeight="1">
      <c r="A1583" s="8" t="inlineStr">
        <is>
          <t>24.2.8</t>
        </is>
      </c>
      <c r="B1583" s="9" t="inlineStr">
        <is>
          <t xml:space="preserve">    Create a subuser</t>
        </is>
      </c>
      <c r="C1583" s="10">
        <f>HYPERLINK("https://www.ibm.com/docs/en/storage-ceph/9.9.1?topic=api-create-subuser","https://www.ibm.com/docs/en/storage-ceph/9.9.1?topic=api-create-subuser")</f>
        <v/>
      </c>
    </row>
    <row r="1584" ht="18" customHeight="1">
      <c r="A1584" s="8" t="inlineStr">
        <is>
          <t>24.2.9</t>
        </is>
      </c>
      <c r="B1584" s="9" t="inlineStr">
        <is>
          <t xml:space="preserve">    Modify a subuser</t>
        </is>
      </c>
      <c r="C1584" s="10">
        <f>HYPERLINK("https://www.ibm.com/docs/en/storage-ceph/9.9.1?topic=api-modify-subuser","https://www.ibm.com/docs/en/storage-ceph/9.9.1?topic=api-modify-subuser")</f>
        <v/>
      </c>
    </row>
    <row r="1585" ht="18" customHeight="1">
      <c r="A1585" s="8" t="inlineStr">
        <is>
          <t>24.2.10</t>
        </is>
      </c>
      <c r="B1585" s="9" t="inlineStr">
        <is>
          <t xml:space="preserve">    Remove a subuser</t>
        </is>
      </c>
      <c r="C1585" s="10">
        <f>HYPERLINK("https://www.ibm.com/docs/en/storage-ceph/9.9.1?topic=api-remove-subuser","https://www.ibm.com/docs/en/storage-ceph/9.9.1?topic=api-remove-subuser")</f>
        <v/>
      </c>
    </row>
    <row r="1586" ht="18" customHeight="1">
      <c r="A1586" s="8" t="inlineStr">
        <is>
          <t>24.2.11</t>
        </is>
      </c>
      <c r="B1586" s="9" t="inlineStr">
        <is>
          <t xml:space="preserve">    Add capabilities to a user</t>
        </is>
      </c>
      <c r="C1586" s="10">
        <f>HYPERLINK("https://www.ibm.com/docs/en/storage-ceph/9.9.1?topic=api-add-capabilities-user","https://www.ibm.com/docs/en/storage-ceph/9.9.1?topic=api-add-capabilities-user")</f>
        <v/>
      </c>
    </row>
    <row r="1587" ht="18" customHeight="1">
      <c r="A1587" s="8" t="inlineStr">
        <is>
          <t>24.2.12</t>
        </is>
      </c>
      <c r="B1587" s="9" t="inlineStr">
        <is>
          <t xml:space="preserve">    Remove capabilities from a user</t>
        </is>
      </c>
      <c r="C1587" s="10">
        <f>HYPERLINK("https://www.ibm.com/docs/en/storage-ceph/9.9.1?topic=api-remove-capabilities-from-user","https://www.ibm.com/docs/en/storage-ceph/9.9.1?topic=api-remove-capabilities-from-user")</f>
        <v/>
      </c>
    </row>
    <row r="1588" ht="18" customHeight="1">
      <c r="A1588" s="8" t="inlineStr">
        <is>
          <t>24.2.13</t>
        </is>
      </c>
      <c r="B1588" s="9" t="inlineStr">
        <is>
          <t xml:space="preserve">    Create a key</t>
        </is>
      </c>
      <c r="C1588" s="10">
        <f>HYPERLINK("https://www.ibm.com/docs/en/storage-ceph/9.9.1?topic=api-create-key","https://www.ibm.com/docs/en/storage-ceph/9.9.1?topic=api-create-key")</f>
        <v/>
      </c>
    </row>
    <row r="1589" ht="18" customHeight="1">
      <c r="A1589" s="8" t="inlineStr">
        <is>
          <t>24.2.14</t>
        </is>
      </c>
      <c r="B1589" s="9" t="inlineStr">
        <is>
          <t xml:space="preserve">    Remove a key</t>
        </is>
      </c>
      <c r="C1589" s="10">
        <f>HYPERLINK("https://www.ibm.com/docs/en/storage-ceph/9.9.1?topic=api-remove-key","https://www.ibm.com/docs/en/storage-ceph/9.9.1?topic=api-remove-key")</f>
        <v/>
      </c>
    </row>
    <row r="1590" ht="18" customHeight="1">
      <c r="A1590" s="8" t="inlineStr">
        <is>
          <t>24.2.15</t>
        </is>
      </c>
      <c r="B1590" s="9" t="inlineStr">
        <is>
          <t xml:space="preserve">    Bucket notifications</t>
        </is>
      </c>
      <c r="C1590" s="10">
        <f>HYPERLINK("https://www.ibm.com/docs/en/storage-ceph/9.9.1?topic=api-bucket-notifications","https://www.ibm.com/docs/en/storage-ceph/9.9.1?topic=api-bucket-notifications")</f>
        <v/>
      </c>
    </row>
    <row r="1591" ht="18" customHeight="1">
      <c r="A1591" s="8" t="inlineStr">
        <is>
          <t>24.2.15.1</t>
        </is>
      </c>
      <c r="B1591" s="9" t="inlineStr">
        <is>
          <t xml:space="preserve">      Persistent notifications</t>
        </is>
      </c>
      <c r="C1591" s="10">
        <f>HYPERLINK("https://www.ibm.com/docs/en/storage-ceph/9.9.1?topic=notifications-persistent","https://www.ibm.com/docs/en/storage-ceph/9.9.1?topic=notifications-persistent")</f>
        <v/>
      </c>
    </row>
    <row r="1592" ht="18" customHeight="1">
      <c r="A1592" s="8" t="inlineStr">
        <is>
          <t>24.2.15.2</t>
        </is>
      </c>
      <c r="B1592" s="9" t="inlineStr">
        <is>
          <t xml:space="preserve">      Creating a topic</t>
        </is>
      </c>
      <c r="C1592" s="10">
        <f>HYPERLINK("https://www.ibm.com/docs/en/storage-ceph/9.9.1?topic=notifications-creating-topic","https://www.ibm.com/docs/en/storage-ceph/9.9.1?topic=notifications-creating-topic")</f>
        <v/>
      </c>
    </row>
    <row r="1593" ht="18" customHeight="1">
      <c r="A1593" s="8" t="inlineStr">
        <is>
          <t>24.2.15.3</t>
        </is>
      </c>
      <c r="B1593" s="9" t="inlineStr">
        <is>
          <t xml:space="preserve">      Getting topic information</t>
        </is>
      </c>
      <c r="C1593" s="10">
        <f>HYPERLINK("https://www.ibm.com/docs/en/storage-ceph/9.9.1?topic=notifications-getting-topic-information","https://www.ibm.com/docs/en/storage-ceph/9.9.1?topic=notifications-getting-topic-information")</f>
        <v/>
      </c>
    </row>
    <row r="1594" ht="18" customHeight="1">
      <c r="A1594" s="8" t="inlineStr">
        <is>
          <t>24.2.15.4</t>
        </is>
      </c>
      <c r="B1594" s="9" t="inlineStr">
        <is>
          <t xml:space="preserve">      Listing topics</t>
        </is>
      </c>
      <c r="C1594" s="10">
        <f>HYPERLINK("https://www.ibm.com/docs/en/storage-ceph/9.9.1?topic=notifications-listing-topics","https://www.ibm.com/docs/en/storage-ceph/9.9.1?topic=notifications-listing-topics")</f>
        <v/>
      </c>
    </row>
    <row r="1595" ht="18" customHeight="1">
      <c r="A1595" s="8" t="inlineStr">
        <is>
          <t>24.2.15.5</t>
        </is>
      </c>
      <c r="B1595" s="9" t="inlineStr">
        <is>
          <t xml:space="preserve">      Deleting topics</t>
        </is>
      </c>
      <c r="C1595" s="10">
        <f>HYPERLINK("https://www.ibm.com/docs/en/storage-ceph/9.9.1?topic=notifications-deleting-topics","https://www.ibm.com/docs/en/storage-ceph/9.9.1?topic=notifications-deleting-topics")</f>
        <v/>
      </c>
    </row>
    <row r="1596" ht="18" customHeight="1">
      <c r="A1596" s="8" t="inlineStr">
        <is>
          <t>24.2.15.6</t>
        </is>
      </c>
      <c r="B1596" s="9" t="inlineStr">
        <is>
          <t xml:space="preserve">      Using the command-line interface for topic management</t>
        </is>
      </c>
      <c r="C1596" s="10">
        <f>HYPERLINK("https://www.ibm.com/docs/en/storage-ceph/9.9.1?topic=notifications-using-command-line-interface-topic-management","https://www.ibm.com/docs/en/storage-ceph/9.9.1?topic=notifications-using-command-line-interface-topic-management")</f>
        <v/>
      </c>
    </row>
    <row r="1597" ht="18" customHeight="1">
      <c r="A1597" s="8" t="inlineStr">
        <is>
          <t>24.2.15.7</t>
        </is>
      </c>
      <c r="B1597" s="9" t="inlineStr">
        <is>
          <t xml:space="preserve">      Managing notification configuration</t>
        </is>
      </c>
      <c r="C1597" s="10">
        <f>HYPERLINK("https://www.ibm.com/docs/en/storage-ceph/9.9.1?topic=notifications-managing-notification-configuration","https://www.ibm.com/docs/en/storage-ceph/9.9.1?topic=notifications-managing-notification-configuration")</f>
        <v/>
      </c>
    </row>
    <row r="1598" ht="18" customHeight="1">
      <c r="A1598" s="8" t="inlineStr">
        <is>
          <t>24.2.15.8</t>
        </is>
      </c>
      <c r="B1598" s="9" t="inlineStr">
        <is>
          <t xml:space="preserve">      Event record</t>
        </is>
      </c>
      <c r="C1598" s="10">
        <f>HYPERLINK("https://www.ibm.com/docs/en/storage-ceph/9.9.1?topic=notifications-event-record","https://www.ibm.com/docs/en/storage-ceph/9.9.1?topic=notifications-event-record")</f>
        <v/>
      </c>
    </row>
    <row r="1599" ht="18" customHeight="1">
      <c r="A1599" s="8" t="inlineStr">
        <is>
          <t>24.2.15.9</t>
        </is>
      </c>
      <c r="B1599" s="9" t="inlineStr">
        <is>
          <t xml:space="preserve">      Supported event types</t>
        </is>
      </c>
      <c r="C1599" s="10">
        <f>HYPERLINK("https://www.ibm.com/docs/en/storage-ceph/9.9.1?topic=notifications-supported-event-types","https://www.ibm.com/docs/en/storage-ceph/9.9.1?topic=notifications-supported-event-types")</f>
        <v/>
      </c>
    </row>
    <row r="1600" ht="18" customHeight="1">
      <c r="A1600" s="8" t="inlineStr">
        <is>
          <t>24.2.16</t>
        </is>
      </c>
      <c r="B1600" s="9" t="inlineStr">
        <is>
          <t xml:space="preserve">    Get bucket information</t>
        </is>
      </c>
      <c r="C1600" s="10">
        <f>HYPERLINK("https://www.ibm.com/docs/en/storage-ceph/9.9.1?topic=api-get-bucket-information","https://www.ibm.com/docs/en/storage-ceph/9.9.1?topic=api-get-bucket-information")</f>
        <v/>
      </c>
    </row>
    <row r="1601" ht="18" customHeight="1">
      <c r="A1601" s="8" t="inlineStr">
        <is>
          <t>24.2.17</t>
        </is>
      </c>
      <c r="B1601" s="9" t="inlineStr">
        <is>
          <t xml:space="preserve">    Check a bucket index</t>
        </is>
      </c>
      <c r="C1601" s="10">
        <f>HYPERLINK("https://www.ibm.com/docs/en/storage-ceph/9.9.1?topic=api-check-bucket-index","https://www.ibm.com/docs/en/storage-ceph/9.9.1?topic=api-check-bucket-index")</f>
        <v/>
      </c>
    </row>
    <row r="1602" ht="18" customHeight="1">
      <c r="A1602" s="8" t="inlineStr">
        <is>
          <t>24.2.18</t>
        </is>
      </c>
      <c r="B1602" s="9" t="inlineStr">
        <is>
          <t xml:space="preserve">    Remove a bucket</t>
        </is>
      </c>
      <c r="C1602" s="10">
        <f>HYPERLINK("https://www.ibm.com/docs/en/storage-ceph/9.9.1?topic=api-remove-bucket","https://www.ibm.com/docs/en/storage-ceph/9.9.1?topic=api-remove-bucket")</f>
        <v/>
      </c>
    </row>
    <row r="1603" ht="18" customHeight="1">
      <c r="A1603" s="8" t="inlineStr">
        <is>
          <t>24.2.19</t>
        </is>
      </c>
      <c r="B1603" s="9" t="inlineStr">
        <is>
          <t xml:space="preserve">    Link a bucket</t>
        </is>
      </c>
      <c r="C1603" s="10">
        <f>HYPERLINK("https://www.ibm.com/docs/en/storage-ceph/9.9.1?topic=api-link-bucket","https://www.ibm.com/docs/en/storage-ceph/9.9.1?topic=api-link-bucket")</f>
        <v/>
      </c>
    </row>
    <row r="1604" ht="18" customHeight="1">
      <c r="A1604" s="8" t="inlineStr">
        <is>
          <t>24.2.20</t>
        </is>
      </c>
      <c r="B1604" s="9" t="inlineStr">
        <is>
          <t xml:space="preserve">    Unlink a bucket</t>
        </is>
      </c>
      <c r="C1604" s="10">
        <f>HYPERLINK("https://www.ibm.com/docs/en/storage-ceph/9.9.1?topic=api-unlink-bucket","https://www.ibm.com/docs/en/storage-ceph/9.9.1?topic=api-unlink-bucket")</f>
        <v/>
      </c>
    </row>
    <row r="1605" ht="18" customHeight="1">
      <c r="A1605" s="8" t="inlineStr">
        <is>
          <t>24.2.21</t>
        </is>
      </c>
      <c r="B1605" s="9" t="inlineStr">
        <is>
          <t xml:space="preserve">    Get a bucket or object policy</t>
        </is>
      </c>
      <c r="C1605" s="10">
        <f>HYPERLINK("https://www.ibm.com/docs/en/storage-ceph/9.9.1?topic=api-get-bucket-object-policy","https://www.ibm.com/docs/en/storage-ceph/9.9.1?topic=api-get-bucket-object-policy")</f>
        <v/>
      </c>
    </row>
    <row r="1606" ht="18" customHeight="1">
      <c r="A1606" s="8" t="inlineStr">
        <is>
          <t>24.2.22</t>
        </is>
      </c>
      <c r="B1606" s="9" t="inlineStr">
        <is>
          <t xml:space="preserve">    Remove an object</t>
        </is>
      </c>
      <c r="C1606" s="10">
        <f>HYPERLINK("https://www.ibm.com/docs/en/storage-ceph/9.9.1?topic=api-remove-object","https://www.ibm.com/docs/en/storage-ceph/9.9.1?topic=api-remove-object")</f>
        <v/>
      </c>
    </row>
    <row r="1607" ht="18" customHeight="1">
      <c r="A1607" s="8" t="inlineStr">
        <is>
          <t>24.2.23</t>
        </is>
      </c>
      <c r="B1607" s="9" t="inlineStr">
        <is>
          <t xml:space="preserve">    Quotas</t>
        </is>
      </c>
      <c r="C1607" s="10">
        <f>HYPERLINK("https://www.ibm.com/docs/en/storage-ceph/9.9.1?topic=api-quotas","https://www.ibm.com/docs/en/storage-ceph/9.9.1?topic=api-quotas")</f>
        <v/>
      </c>
    </row>
    <row r="1608" ht="18" customHeight="1">
      <c r="A1608" s="8" t="inlineStr">
        <is>
          <t>24.2.23.1</t>
        </is>
      </c>
      <c r="B1608" s="9" t="inlineStr">
        <is>
          <t xml:space="preserve">      Get a user quota</t>
        </is>
      </c>
      <c r="C1608" s="10">
        <f>HYPERLINK("https://www.ibm.com/docs/en/storage-ceph/9.9.1?topic=quotas-get-user-quota","https://www.ibm.com/docs/en/storage-ceph/9.9.1?topic=quotas-get-user-quota")</f>
        <v/>
      </c>
    </row>
    <row r="1609" ht="18" customHeight="1">
      <c r="A1609" s="8" t="inlineStr">
        <is>
          <t>24.2.23.2</t>
        </is>
      </c>
      <c r="B1609" s="9" t="inlineStr">
        <is>
          <t xml:space="preserve">      Set a user quota</t>
        </is>
      </c>
      <c r="C1609" s="10">
        <f>HYPERLINK("https://www.ibm.com/docs/en/storage-ceph/9.9.1?topic=quotas-set-user-quota","https://www.ibm.com/docs/en/storage-ceph/9.9.1?topic=quotas-set-user-quota")</f>
        <v/>
      </c>
    </row>
    <row r="1610" ht="18" customHeight="1">
      <c r="A1610" s="8" t="inlineStr">
        <is>
          <t>24.2.23.3</t>
        </is>
      </c>
      <c r="B1610" s="9" t="inlineStr">
        <is>
          <t xml:space="preserve">      Get a bucket quota</t>
        </is>
      </c>
      <c r="C1610" s="10">
        <f>HYPERLINK("https://www.ibm.com/docs/en/storage-ceph/9.9.1?topic=quotas-get-bucket-quota","https://www.ibm.com/docs/en/storage-ceph/9.9.1?topic=quotas-get-bucket-quota")</f>
        <v/>
      </c>
    </row>
    <row r="1611" ht="18" customHeight="1">
      <c r="A1611" s="8" t="inlineStr">
        <is>
          <t>24.2.23.4</t>
        </is>
      </c>
      <c r="B1611" s="9" t="inlineStr">
        <is>
          <t xml:space="preserve">      Set a bucket quota</t>
        </is>
      </c>
      <c r="C1611" s="10">
        <f>HYPERLINK("https://www.ibm.com/docs/en/storage-ceph/9.9.1?topic=quotas-set-bucket-quota","https://www.ibm.com/docs/en/storage-ceph/9.9.1?topic=quotas-set-bucket-quota")</f>
        <v/>
      </c>
    </row>
    <row r="1612" ht="18" customHeight="1">
      <c r="A1612" s="8" t="inlineStr">
        <is>
          <t>24.2.24</t>
        </is>
      </c>
      <c r="B1612" s="9" t="inlineStr">
        <is>
          <t xml:space="preserve">    Get usage information</t>
        </is>
      </c>
      <c r="C1612" s="10">
        <f>HYPERLINK("https://www.ibm.com/docs/en/storage-ceph/9.9.1?topic=api-get-usage-information","https://www.ibm.com/docs/en/storage-ceph/9.9.1?topic=api-get-usage-information")</f>
        <v/>
      </c>
    </row>
    <row r="1613" ht="18" customHeight="1">
      <c r="A1613" s="8" t="inlineStr">
        <is>
          <t>24.2.25</t>
        </is>
      </c>
      <c r="B1613" s="9" t="inlineStr">
        <is>
          <t xml:space="preserve">    Remove usage information</t>
        </is>
      </c>
      <c r="C1613" s="10">
        <f>HYPERLINK("https://www.ibm.com/docs/en/storage-ceph/9.9.1?topic=api-remove-usage-information","https://www.ibm.com/docs/en/storage-ceph/9.9.1?topic=api-remove-usage-information")</f>
        <v/>
      </c>
    </row>
    <row r="1614" ht="18" customHeight="1">
      <c r="A1614" s="8" t="inlineStr">
        <is>
          <t>24.2.26</t>
        </is>
      </c>
      <c r="B1614" s="9" t="inlineStr">
        <is>
          <t xml:space="preserve">    Standard error responses</t>
        </is>
      </c>
      <c r="C1614" s="10">
        <f>HYPERLINK("https://www.ibm.com/docs/en/storage-ceph/9.9.1?topic=api-standard-error-responses","https://www.ibm.com/docs/en/storage-ceph/9.9.1?topic=api-standard-error-responses")</f>
        <v/>
      </c>
    </row>
    <row r="1615" ht="18" customHeight="1">
      <c r="A1615" s="5" t="inlineStr">
        <is>
          <t>24.3</t>
        </is>
      </c>
      <c r="B1615" s="6" t="inlineStr">
        <is>
          <t xml:space="preserve">  Ceph Object Gateway and the S3 API</t>
        </is>
      </c>
      <c r="C1615" s="7">
        <f>HYPERLINK("https://www.ibm.com/docs/en/storage-ceph/9.9.1?topic=developer-ceph-object-gateway-s3-api","https://www.ibm.com/docs/en/storage-ceph/9.9.1?topic=developer-ceph-object-gateway-s3-api")</f>
        <v/>
      </c>
    </row>
    <row r="1616" ht="18" customHeight="1">
      <c r="A1616" s="8" t="inlineStr">
        <is>
          <t>24.3.1</t>
        </is>
      </c>
      <c r="B1616" s="9" t="inlineStr">
        <is>
          <t xml:space="preserve">    S3 limitations</t>
        </is>
      </c>
      <c r="C1616" s="10">
        <f>HYPERLINK("https://www.ibm.com/docs/en/storage-ceph/9.9.1?topic=api-s3-limitations","https://www.ibm.com/docs/en/storage-ceph/9.9.1?topic=api-s3-limitations")</f>
        <v/>
      </c>
    </row>
    <row r="1617" ht="18" customHeight="1">
      <c r="A1617" s="8" t="inlineStr">
        <is>
          <t>24.3.2</t>
        </is>
      </c>
      <c r="B1617" s="9" t="inlineStr">
        <is>
          <t xml:space="preserve">    Accessing the Ceph Object Gateway with the S3 API</t>
        </is>
      </c>
      <c r="C1617" s="10">
        <f>HYPERLINK("https://www.ibm.com/docs/en/storage-ceph/9.9.1?topic=api-accessing-ceph-object-gateway-s3","https://www.ibm.com/docs/en/storage-ceph/9.9.1?topic=api-accessing-ceph-object-gateway-s3")</f>
        <v/>
      </c>
    </row>
    <row r="1618" ht="18" customHeight="1">
      <c r="A1618" s="8" t="inlineStr">
        <is>
          <t>24.3.2.1</t>
        </is>
      </c>
      <c r="B1618" s="9" t="inlineStr">
        <is>
          <t xml:space="preserve">      S3 authentication</t>
        </is>
      </c>
      <c r="C1618" s="10">
        <f>HYPERLINK("https://www.ibm.com/docs/en/storage-ceph/9.9.1?topic=api-s3-authentication","https://www.ibm.com/docs/en/storage-ceph/9.9.1?topic=api-s3-authentication")</f>
        <v/>
      </c>
    </row>
    <row r="1619" ht="18" customHeight="1">
      <c r="A1619" s="8" t="inlineStr">
        <is>
          <t>24.3.2.2</t>
        </is>
      </c>
      <c r="B1619" s="9" t="inlineStr">
        <is>
          <t xml:space="preserve">      S3 server-side encryption</t>
        </is>
      </c>
      <c r="C1619" s="10">
        <f>HYPERLINK("https://www.ibm.com/docs/en/storage-ceph/9.9.1?topic=api-s3-server-side-encryption","https://www.ibm.com/docs/en/storage-ceph/9.9.1?topic=api-s3-server-side-encryption")</f>
        <v/>
      </c>
    </row>
    <row r="1620" ht="18" customHeight="1">
      <c r="A1620" s="8" t="inlineStr">
        <is>
          <t>24.3.2.3</t>
        </is>
      </c>
      <c r="B1620" s="9" t="inlineStr">
        <is>
          <t xml:space="preserve">      S3 access control lists</t>
        </is>
      </c>
      <c r="C1620" s="10">
        <f>HYPERLINK("https://www.ibm.com/docs/en/storage-ceph/9.9.1?topic=api-s3-access-control-lists","https://www.ibm.com/docs/en/storage-ceph/9.9.1?topic=api-s3-access-control-lists")</f>
        <v/>
      </c>
    </row>
    <row r="1621" ht="18" customHeight="1">
      <c r="A1621" s="8" t="inlineStr">
        <is>
          <t>24.3.2.4</t>
        </is>
      </c>
      <c r="B1621" s="9" t="inlineStr">
        <is>
          <t xml:space="preserve">      Preparing access to the Ceph Object Gateway using S3</t>
        </is>
      </c>
      <c r="C1621" s="10">
        <f>HYPERLINK("https://www.ibm.com/docs/en/storage-ceph/9.9.1?topic=api-preparing-access-ceph-object-gateway-using-s3","https://www.ibm.com/docs/en/storage-ceph/9.9.1?topic=api-preparing-access-ceph-object-gateway-using-s3")</f>
        <v/>
      </c>
    </row>
    <row r="1622" ht="18" customHeight="1">
      <c r="A1622" s="8" t="inlineStr">
        <is>
          <t>24.3.2.5</t>
        </is>
      </c>
      <c r="B1622" s="9" t="inlineStr">
        <is>
          <t xml:space="preserve">      Accessing the Ceph Object Gateway that uses Ruby AWS S3</t>
        </is>
      </c>
      <c r="C1622" s="10">
        <f>HYPERLINK("https://www.ibm.com/docs/en/storage-ceph/9.9.1?topic=acogsa-accessing-ceph-object-gateway-that-uses-ruby-aws-s3","https://www.ibm.com/docs/en/storage-ceph/9.9.1?topic=acogsa-accessing-ceph-object-gateway-that-uses-ruby-aws-s3")</f>
        <v/>
      </c>
    </row>
    <row r="1623" ht="18" customHeight="1">
      <c r="A1623" s="8" t="inlineStr">
        <is>
          <t>24.3.2.6</t>
        </is>
      </c>
      <c r="B1623" s="9" t="inlineStr">
        <is>
          <t xml:space="preserve">      Accessing the Ceph Object Gateway using Ruby AWS SDK</t>
        </is>
      </c>
      <c r="C1623" s="10">
        <f>HYPERLINK("https://www.ibm.com/docs/en/storage-ceph/9.9.1?topic=acogsa-accessing-ceph-object-gateway-using-ruby-aws-sdk","https://www.ibm.com/docs/en/storage-ceph/9.9.1?topic=acogsa-accessing-ceph-object-gateway-using-ruby-aws-sdk")</f>
        <v/>
      </c>
    </row>
    <row r="1624" ht="18" customHeight="1">
      <c r="A1624" s="8" t="inlineStr">
        <is>
          <t>24.3.2.7</t>
        </is>
      </c>
      <c r="B1624" s="9" t="inlineStr">
        <is>
          <t xml:space="preserve">      Accessing the Ceph Object Gateway using PHP</t>
        </is>
      </c>
      <c r="C1624" s="10">
        <f>HYPERLINK("https://www.ibm.com/docs/en/storage-ceph/9.9.1?topic=api-accessing-ceph-object-gateway-using-php","https://www.ibm.com/docs/en/storage-ceph/9.9.1?topic=api-accessing-ceph-object-gateway-using-php")</f>
        <v/>
      </c>
    </row>
    <row r="1625" ht="18" customHeight="1">
      <c r="A1625" s="8" t="inlineStr">
        <is>
          <t>24.3.3</t>
        </is>
      </c>
      <c r="B1625" s="9" t="inlineStr">
        <is>
          <t xml:space="preserve">    S3 bucket operations</t>
        </is>
      </c>
      <c r="C1625" s="10">
        <f>HYPERLINK("https://www.ibm.com/docs/en/storage-ceph/9.9.1?topic=api-s3-bucket-operations","https://www.ibm.com/docs/en/storage-ceph/9.9.1?topic=api-s3-bucket-operations")</f>
        <v/>
      </c>
    </row>
    <row r="1626" ht="18" customHeight="1">
      <c r="A1626" s="8" t="inlineStr">
        <is>
          <t>24.3.3.1</t>
        </is>
      </c>
      <c r="B1626" s="9" t="inlineStr">
        <is>
          <t xml:space="preserve">      Prerequisites</t>
        </is>
      </c>
      <c r="C1626" s="10">
        <f>HYPERLINK("https://www.ibm.com/docs/en/storage-ceph/9.9.1?topic=operations-prerequisites","https://www.ibm.com/docs/en/storage-ceph/9.9.1?topic=operations-prerequisites")</f>
        <v/>
      </c>
    </row>
    <row r="1627" ht="18" customHeight="1">
      <c r="A1627" s="8" t="inlineStr">
        <is>
          <t>24.3.3.2</t>
        </is>
      </c>
      <c r="B1627" s="9" t="inlineStr">
        <is>
          <t xml:space="preserve">      S3 create bucket notifications</t>
        </is>
      </c>
      <c r="C1627" s="10">
        <f>HYPERLINK("https://www.ibm.com/docs/en/storage-ceph/9.9.1?topic=operations-s3-create-bucket-notifications","https://www.ibm.com/docs/en/storage-ceph/9.9.1?topic=operations-s3-create-bucket-notifications")</f>
        <v/>
      </c>
    </row>
    <row r="1628" ht="18" customHeight="1">
      <c r="A1628" s="8" t="inlineStr">
        <is>
          <t>24.3.3.3</t>
        </is>
      </c>
      <c r="B1628" s="9" t="inlineStr">
        <is>
          <t xml:space="preserve">      S3 get bucket notifications</t>
        </is>
      </c>
      <c r="C1628" s="10">
        <f>HYPERLINK("https://www.ibm.com/docs/en/storage-ceph/9.9.1?topic=operations-s3-get-bucket-notifications","https://www.ibm.com/docs/en/storage-ceph/9.9.1?topic=operations-s3-get-bucket-notifications")</f>
        <v/>
      </c>
    </row>
    <row r="1629" ht="18" customHeight="1">
      <c r="A1629" s="8" t="inlineStr">
        <is>
          <t>24.3.3.4</t>
        </is>
      </c>
      <c r="B1629" s="9" t="inlineStr">
        <is>
          <t xml:space="preserve">      S3 delete bucket notifications</t>
        </is>
      </c>
      <c r="C1629" s="10">
        <f>HYPERLINK("https://www.ibm.com/docs/en/storage-ceph/9.9.1?topic=operations-s3-delete-bucket-notifications","https://www.ibm.com/docs/en/storage-ceph/9.9.1?topic=operations-s3-delete-bucket-notifications")</f>
        <v/>
      </c>
    </row>
    <row r="1630" ht="18" customHeight="1">
      <c r="A1630" s="8" t="inlineStr">
        <is>
          <t>24.3.3.5</t>
        </is>
      </c>
      <c r="B1630" s="9" t="inlineStr">
        <is>
          <t xml:space="preserve">      Accessing bucket host names</t>
        </is>
      </c>
      <c r="C1630" s="10">
        <f>HYPERLINK("https://www.ibm.com/docs/en/storage-ceph/9.9.1?topic=operations-accessing-bucket-host-names","https://www.ibm.com/docs/en/storage-ceph/9.9.1?topic=operations-accessing-bucket-host-names")</f>
        <v/>
      </c>
    </row>
    <row r="1631" ht="18" customHeight="1">
      <c r="A1631" s="8" t="inlineStr">
        <is>
          <t>24.3.3.6</t>
        </is>
      </c>
      <c r="B1631" s="9" t="inlineStr">
        <is>
          <t xml:space="preserve">      S3 list buckets</t>
        </is>
      </c>
      <c r="C1631" s="10">
        <f>HYPERLINK("https://www.ibm.com/docs/en/storage-ceph/9.9.1?topic=operations-s3-list-buckets","https://www.ibm.com/docs/en/storage-ceph/9.9.1?topic=operations-s3-list-buckets")</f>
        <v/>
      </c>
    </row>
    <row r="1632" ht="18" customHeight="1">
      <c r="A1632" s="8" t="inlineStr">
        <is>
          <t>24.3.3.7</t>
        </is>
      </c>
      <c r="B1632" s="9" t="inlineStr">
        <is>
          <t xml:space="preserve">      S3 return a list of bucket objects</t>
        </is>
      </c>
      <c r="C1632" s="10">
        <f>HYPERLINK("https://www.ibm.com/docs/en/storage-ceph/9.9.1?topic=operations-s3-return-list-bucket-objects","https://www.ibm.com/docs/en/storage-ceph/9.9.1?topic=operations-s3-return-list-bucket-objects")</f>
        <v/>
      </c>
    </row>
    <row r="1633" ht="18" customHeight="1">
      <c r="A1633" s="8" t="inlineStr">
        <is>
          <t>24.3.3.8</t>
        </is>
      </c>
      <c r="B1633" s="9" t="inlineStr">
        <is>
          <t xml:space="preserve">      S3 create a new bucket</t>
        </is>
      </c>
      <c r="C1633" s="10">
        <f>HYPERLINK("https://www.ibm.com/docs/en/storage-ceph/9.9.1?topic=operations-s3-create-new-bucket","https://www.ibm.com/docs/en/storage-ceph/9.9.1?topic=operations-s3-create-new-bucket")</f>
        <v/>
      </c>
    </row>
    <row r="1634" ht="18" customHeight="1">
      <c r="A1634" s="8" t="inlineStr">
        <is>
          <t>24.3.3.9</t>
        </is>
      </c>
      <c r="B1634" s="9" t="inlineStr">
        <is>
          <t xml:space="preserve">      S3 put bucket website</t>
        </is>
      </c>
      <c r="C1634" s="10">
        <f>HYPERLINK("https://www.ibm.com/docs/en/storage-ceph/9.9.1?topic=operations-s3-put-bucket-website","https://www.ibm.com/docs/en/storage-ceph/9.9.1?topic=operations-s3-put-bucket-website")</f>
        <v/>
      </c>
    </row>
    <row r="1635" ht="18" customHeight="1">
      <c r="A1635" s="8" t="inlineStr">
        <is>
          <t>24.3.3.10</t>
        </is>
      </c>
      <c r="B1635" s="9" t="inlineStr">
        <is>
          <t xml:space="preserve">      S3 get bucket website</t>
        </is>
      </c>
      <c r="C1635" s="10">
        <f>HYPERLINK("https://www.ibm.com/docs/en/storage-ceph/9.9.1?topic=operations-s3-get-bucket-website","https://www.ibm.com/docs/en/storage-ceph/9.9.1?topic=operations-s3-get-bucket-website")</f>
        <v/>
      </c>
    </row>
    <row r="1636" ht="18" customHeight="1">
      <c r="A1636" s="8" t="inlineStr">
        <is>
          <t>24.3.3.11</t>
        </is>
      </c>
      <c r="B1636" s="9" t="inlineStr">
        <is>
          <t xml:space="preserve">      S3 delete bucket website</t>
        </is>
      </c>
      <c r="C1636" s="10">
        <f>HYPERLINK("https://www.ibm.com/docs/en/storage-ceph/9.9.1?topic=operations-s3-delete-bucket-website","https://www.ibm.com/docs/en/storage-ceph/9.9.1?topic=operations-s3-delete-bucket-website")</f>
        <v/>
      </c>
    </row>
    <row r="1637" ht="18" customHeight="1">
      <c r="A1637" s="8" t="inlineStr">
        <is>
          <t>24.3.3.12</t>
        </is>
      </c>
      <c r="B1637" s="9" t="inlineStr">
        <is>
          <t xml:space="preserve">      S3 put bucket replication</t>
        </is>
      </c>
      <c r="C1637" s="10">
        <f>HYPERLINK("https://www.ibm.com/docs/en/storage-ceph/9.9.1?topic=operations-s3-put-bucket-replication","https://www.ibm.com/docs/en/storage-ceph/9.9.1?topic=operations-s3-put-bucket-replication")</f>
        <v/>
      </c>
    </row>
    <row r="1638" ht="18" customHeight="1">
      <c r="A1638" s="8" t="inlineStr">
        <is>
          <t>24.3.3.13</t>
        </is>
      </c>
      <c r="B1638" s="9" t="inlineStr">
        <is>
          <t xml:space="preserve">      S3 get bucket replication</t>
        </is>
      </c>
      <c r="C1638" s="10">
        <f>HYPERLINK("https://www.ibm.com/docs/en/storage-ceph/9.9.1?topic=operations-s3-get-bucket-replication","https://www.ibm.com/docs/en/storage-ceph/9.9.1?topic=operations-s3-get-bucket-replication")</f>
        <v/>
      </c>
    </row>
    <row r="1639" ht="18" customHeight="1">
      <c r="A1639" s="8" t="inlineStr">
        <is>
          <t>24.3.3.14</t>
        </is>
      </c>
      <c r="B1639" s="9" t="inlineStr">
        <is>
          <t xml:space="preserve">      S3 delete bucket replication</t>
        </is>
      </c>
      <c r="C1639" s="10">
        <f>HYPERLINK("https://www.ibm.com/docs/en/storage-ceph/9.9.1?topic=operations-s3-delete-bucket-replication","https://www.ibm.com/docs/en/storage-ceph/9.9.1?topic=operations-s3-delete-bucket-replication")</f>
        <v/>
      </c>
    </row>
    <row r="1640" ht="18" customHeight="1">
      <c r="A1640" s="8" t="inlineStr">
        <is>
          <t>24.3.3.15</t>
        </is>
      </c>
      <c r="B1640" s="9" t="inlineStr">
        <is>
          <t xml:space="preserve">      S3 delete a bucket</t>
        </is>
      </c>
      <c r="C1640" s="10">
        <f>HYPERLINK("https://www.ibm.com/docs/en/storage-ceph/9.9.1?topic=operations-s3-delete-bucket","https://www.ibm.com/docs/en/storage-ceph/9.9.1?topic=operations-s3-delete-bucket")</f>
        <v/>
      </c>
    </row>
    <row r="1641" ht="18" customHeight="1">
      <c r="A1641" s="8" t="inlineStr">
        <is>
          <t>24.3.3.16</t>
        </is>
      </c>
      <c r="B1641" s="9" t="inlineStr">
        <is>
          <t xml:space="preserve">      S3 bucket lifecycle</t>
        </is>
      </c>
      <c r="C1641" s="10">
        <f>HYPERLINK("https://www.ibm.com/docs/en/storage-ceph/9.9.1?topic=operations-s3-bucket-lifecycle","https://www.ibm.com/docs/en/storage-ceph/9.9.1?topic=operations-s3-bucket-lifecycle")</f>
        <v/>
      </c>
    </row>
    <row r="1642" ht="18" customHeight="1">
      <c r="A1642" s="8" t="inlineStr">
        <is>
          <t>24.3.3.17</t>
        </is>
      </c>
      <c r="B1642" s="9" t="inlineStr">
        <is>
          <t xml:space="preserve">      S3 GET bucket lifecycle</t>
        </is>
      </c>
      <c r="C1642" s="10">
        <f>HYPERLINK("https://www.ibm.com/docs/en/storage-ceph/9.9.1?topic=operations-s3-get-bucket-lifecycle","https://www.ibm.com/docs/en/storage-ceph/9.9.1?topic=operations-s3-get-bucket-lifecycle")</f>
        <v/>
      </c>
    </row>
    <row r="1643" ht="18" customHeight="1">
      <c r="A1643" s="8" t="inlineStr">
        <is>
          <t>24.3.3.18</t>
        </is>
      </c>
      <c r="B1643" s="9" t="inlineStr">
        <is>
          <t xml:space="preserve">      S3 create or replace a bucket lifecycle</t>
        </is>
      </c>
      <c r="C1643" s="10">
        <f>HYPERLINK("https://www.ibm.com/docs/en/storage-ceph/9.9.1?topic=operations-s3-create-replace-bucket-lifecycle","https://www.ibm.com/docs/en/storage-ceph/9.9.1?topic=operations-s3-create-replace-bucket-lifecycle")</f>
        <v/>
      </c>
    </row>
    <row r="1644" ht="18" customHeight="1">
      <c r="A1644" s="8" t="inlineStr">
        <is>
          <t>24.3.3.19</t>
        </is>
      </c>
      <c r="B1644" s="9" t="inlineStr">
        <is>
          <t xml:space="preserve">      S3 delete a bucket lifecycle</t>
        </is>
      </c>
      <c r="C1644" s="10">
        <f>HYPERLINK("https://www.ibm.com/docs/en/storage-ceph/9.9.1?topic=operations-s3-delete-bucket-lifecycle","https://www.ibm.com/docs/en/storage-ceph/9.9.1?topic=operations-s3-delete-bucket-lifecycle")</f>
        <v/>
      </c>
    </row>
    <row r="1645" ht="18" customHeight="1">
      <c r="A1645" s="8" t="inlineStr">
        <is>
          <t>24.3.3.20</t>
        </is>
      </c>
      <c r="B1645" s="9" t="inlineStr">
        <is>
          <t xml:space="preserve">      S3 get bucket location</t>
        </is>
      </c>
      <c r="C1645" s="10">
        <f>HYPERLINK("https://www.ibm.com/docs/en/storage-ceph/9.9.1?topic=operations-s3-get-bucket-location","https://www.ibm.com/docs/en/storage-ceph/9.9.1?topic=operations-s3-get-bucket-location")</f>
        <v/>
      </c>
    </row>
    <row r="1646" ht="18" customHeight="1">
      <c r="A1646" s="8" t="inlineStr">
        <is>
          <t>24.3.3.21</t>
        </is>
      </c>
      <c r="B1646" s="9" t="inlineStr">
        <is>
          <t xml:space="preserve">      S3 get bucket versioning</t>
        </is>
      </c>
      <c r="C1646" s="10">
        <f>HYPERLINK("https://www.ibm.com/docs/en/storage-ceph/9.9.1?topic=operations-s3-get-bucket-versioning","https://www.ibm.com/docs/en/storage-ceph/9.9.1?topic=operations-s3-get-bucket-versioning")</f>
        <v/>
      </c>
    </row>
    <row r="1647" ht="18" customHeight="1">
      <c r="A1647" s="8" t="inlineStr">
        <is>
          <t>24.3.3.22</t>
        </is>
      </c>
      <c r="B1647" s="9" t="inlineStr">
        <is>
          <t xml:space="preserve">      S3 put bucket versioning</t>
        </is>
      </c>
      <c r="C1647" s="10">
        <f>HYPERLINK("https://www.ibm.com/docs/en/storage-ceph/9.9.1?topic=operations-s3-put-bucket-versioning","https://www.ibm.com/docs/en/storage-ceph/9.9.1?topic=operations-s3-put-bucket-versioning")</f>
        <v/>
      </c>
    </row>
    <row r="1648" ht="18" customHeight="1">
      <c r="A1648" s="8" t="inlineStr">
        <is>
          <t>24.3.3.23</t>
        </is>
      </c>
      <c r="B1648" s="9" t="inlineStr">
        <is>
          <t xml:space="preserve">      S3 get bucket access control lists</t>
        </is>
      </c>
      <c r="C1648" s="10">
        <f>HYPERLINK("https://www.ibm.com/docs/en/storage-ceph/9.9.1?topic=operations-s3-get-bucket-access-control-lists","https://www.ibm.com/docs/en/storage-ceph/9.9.1?topic=operations-s3-get-bucket-access-control-lists")</f>
        <v/>
      </c>
    </row>
    <row r="1649" ht="18" customHeight="1">
      <c r="A1649" s="8" t="inlineStr">
        <is>
          <t>24.3.3.24</t>
        </is>
      </c>
      <c r="B1649" s="9" t="inlineStr">
        <is>
          <t xml:space="preserve">      S3 put bucket Access Control Lists</t>
        </is>
      </c>
      <c r="C1649" s="10">
        <f>HYPERLINK("https://www.ibm.com/docs/en/storage-ceph/9.9.1?topic=operations-s3-put-bucket-access-control-lists","https://www.ibm.com/docs/en/storage-ceph/9.9.1?topic=operations-s3-put-bucket-access-control-lists")</f>
        <v/>
      </c>
    </row>
    <row r="1650" ht="18" customHeight="1">
      <c r="A1650" s="8" t="inlineStr">
        <is>
          <t>24.3.3.25</t>
        </is>
      </c>
      <c r="B1650" s="9" t="inlineStr">
        <is>
          <t xml:space="preserve">      S3 get bucket cors</t>
        </is>
      </c>
      <c r="C1650" s="10">
        <f>HYPERLINK("https://www.ibm.com/docs/en/storage-ceph/9.9.1?topic=operations-s3-get-bucket-cors","https://www.ibm.com/docs/en/storage-ceph/9.9.1?topic=operations-s3-get-bucket-cors")</f>
        <v/>
      </c>
    </row>
    <row r="1651" ht="18" customHeight="1">
      <c r="A1651" s="8" t="inlineStr">
        <is>
          <t>24.3.3.26</t>
        </is>
      </c>
      <c r="B1651" s="9" t="inlineStr">
        <is>
          <t xml:space="preserve">      S3 put bucket cors</t>
        </is>
      </c>
      <c r="C1651" s="10">
        <f>HYPERLINK("https://www.ibm.com/docs/en/storage-ceph/9.9.1?topic=operations-s3-put-bucket-cors","https://www.ibm.com/docs/en/storage-ceph/9.9.1?topic=operations-s3-put-bucket-cors")</f>
        <v/>
      </c>
    </row>
    <row r="1652" ht="18" customHeight="1">
      <c r="A1652" s="8" t="inlineStr">
        <is>
          <t>24.3.3.27</t>
        </is>
      </c>
      <c r="B1652" s="9" t="inlineStr">
        <is>
          <t xml:space="preserve">      S3 delete a bucket cors</t>
        </is>
      </c>
      <c r="C1652" s="10">
        <f>HYPERLINK("https://www.ibm.com/docs/en/storage-ceph/9.9.1?topic=operations-s3-delete-bucket-cors","https://www.ibm.com/docs/en/storage-ceph/9.9.1?topic=operations-s3-delete-bucket-cors")</f>
        <v/>
      </c>
    </row>
    <row r="1653" ht="18" customHeight="1">
      <c r="A1653" s="8" t="inlineStr">
        <is>
          <t>24.3.3.28</t>
        </is>
      </c>
      <c r="B1653" s="9" t="inlineStr">
        <is>
          <t xml:space="preserve">      S3 list bucket object versions</t>
        </is>
      </c>
      <c r="C1653" s="10">
        <f>HYPERLINK("https://www.ibm.com/docs/en/storage-ceph/9.9.1?topic=operations-s3-list-bucket-object-versions","https://www.ibm.com/docs/en/storage-ceph/9.9.1?topic=operations-s3-list-bucket-object-versions")</f>
        <v/>
      </c>
    </row>
    <row r="1654" ht="18" customHeight="1">
      <c r="A1654" s="8" t="inlineStr">
        <is>
          <t>24.3.3.29</t>
        </is>
      </c>
      <c r="B1654" s="9" t="inlineStr">
        <is>
          <t xml:space="preserve">      S3 head bucket</t>
        </is>
      </c>
      <c r="C1654" s="10">
        <f>HYPERLINK("https://www.ibm.com/docs/en/storage-ceph/9.9.1?topic=operations-s3-head-bucket","https://www.ibm.com/docs/en/storage-ceph/9.9.1?topic=operations-s3-head-bucket")</f>
        <v/>
      </c>
    </row>
    <row r="1655" ht="18" customHeight="1">
      <c r="A1655" s="8" t="inlineStr">
        <is>
          <t>24.3.3.30</t>
        </is>
      </c>
      <c r="B1655" s="9" t="inlineStr">
        <is>
          <t xml:space="preserve">      S3 list multipart uploads</t>
        </is>
      </c>
      <c r="C1655" s="10">
        <f>HYPERLINK("https://www.ibm.com/docs/en/storage-ceph/9.9.1?topic=operations-s3-list-multipart-uploads","https://www.ibm.com/docs/en/storage-ceph/9.9.1?topic=operations-s3-list-multipart-uploads")</f>
        <v/>
      </c>
    </row>
    <row r="1656" ht="18" customHeight="1">
      <c r="A1656" s="8" t="inlineStr">
        <is>
          <t>24.3.3.31</t>
        </is>
      </c>
      <c r="B1656" s="9" t="inlineStr">
        <is>
          <t xml:space="preserve">      S3 bucket policies</t>
        </is>
      </c>
      <c r="C1656" s="10">
        <f>HYPERLINK("https://www.ibm.com/docs/en/storage-ceph/9.9.1?topic=operations-s3-bucket-policies","https://www.ibm.com/docs/en/storage-ceph/9.9.1?topic=operations-s3-bucket-policies")</f>
        <v/>
      </c>
    </row>
    <row r="1657" ht="18" customHeight="1">
      <c r="A1657" s="8" t="inlineStr">
        <is>
          <t>24.3.3.32</t>
        </is>
      </c>
      <c r="B1657" s="9" t="inlineStr">
        <is>
          <t xml:space="preserve">      S3 enable bucket logging</t>
        </is>
      </c>
      <c r="C1657" s="10">
        <f>HYPERLINK("https://www.ibm.com/docs/en/storage-ceph/9.9.1?topic=operations-s3-enable-bucket-logging","https://www.ibm.com/docs/en/storage-ceph/9.9.1?topic=operations-s3-enable-bucket-logging")</f>
        <v/>
      </c>
    </row>
    <row r="1658" ht="18" customHeight="1">
      <c r="A1658" s="8" t="inlineStr">
        <is>
          <t>24.3.3.33</t>
        </is>
      </c>
      <c r="B1658" s="9" t="inlineStr">
        <is>
          <t xml:space="preserve">      S3 disable bucket logging</t>
        </is>
      </c>
      <c r="C1658" s="10">
        <f>HYPERLINK("https://www.ibm.com/docs/en/storage-ceph/9.9.1?topic=operations-s3-disable-bucket-logging","https://www.ibm.com/docs/en/storage-ceph/9.9.1?topic=operations-s3-disable-bucket-logging")</f>
        <v/>
      </c>
    </row>
    <row r="1659" ht="18" customHeight="1">
      <c r="A1659" s="8" t="inlineStr">
        <is>
          <t>24.3.3.34</t>
        </is>
      </c>
      <c r="B1659" s="9" t="inlineStr">
        <is>
          <t xml:space="preserve">      S3 get bucket logging configuration</t>
        </is>
      </c>
      <c r="C1659" s="10">
        <f>HYPERLINK("https://www.ibm.com/docs/en/storage-ceph/9.9.1?topic=operations-s3-get-bucket-logging-configuration","https://www.ibm.com/docs/en/storage-ceph/9.9.1?topic=operations-s3-get-bucket-logging-configuration")</f>
        <v/>
      </c>
    </row>
    <row r="1660" ht="18" customHeight="1">
      <c r="A1660" s="8" t="inlineStr">
        <is>
          <t>24.3.3.35</t>
        </is>
      </c>
      <c r="B1660" s="9" t="inlineStr">
        <is>
          <t xml:space="preserve">      S3 flush bucket logging</t>
        </is>
      </c>
      <c r="C1660" s="10">
        <f>HYPERLINK("https://www.ibm.com/docs/en/storage-ceph/9.9.1?topic=operations-s3-flush-bucket-logging","https://www.ibm.com/docs/en/storage-ceph/9.9.1?topic=operations-s3-flush-bucket-logging")</f>
        <v/>
      </c>
    </row>
    <row r="1661" ht="18" customHeight="1">
      <c r="A1661" s="8" t="inlineStr">
        <is>
          <t>24.3.3.36</t>
        </is>
      </c>
      <c r="B1661" s="9" t="inlineStr">
        <is>
          <t xml:space="preserve">      S3 get the request payment configuration on a bucket</t>
        </is>
      </c>
      <c r="C1661" s="10">
        <f>HYPERLINK("https://www.ibm.com/docs/en/storage-ceph/9.9.1?topic=operations-s3-get-request-payment-configuration-bucket","https://www.ibm.com/docs/en/storage-ceph/9.9.1?topic=operations-s3-get-request-payment-configuration-bucket")</f>
        <v/>
      </c>
    </row>
    <row r="1662" ht="18" customHeight="1">
      <c r="A1662" s="8" t="inlineStr">
        <is>
          <t>24.3.3.37</t>
        </is>
      </c>
      <c r="B1662" s="9" t="inlineStr">
        <is>
          <t xml:space="preserve">      S3 set the request payment configuration on a bucket</t>
        </is>
      </c>
      <c r="C1662" s="10">
        <f>HYPERLINK("https://www.ibm.com/docs/en/storage-ceph/9.9.1?topic=operations-s3-set-request-payment-configuration-bucket","https://www.ibm.com/docs/en/storage-ceph/9.9.1?topic=operations-s3-set-request-payment-configuration-bucket")</f>
        <v/>
      </c>
    </row>
    <row r="1663" ht="18" customHeight="1">
      <c r="A1663" s="8" t="inlineStr">
        <is>
          <t>24.3.3.38</t>
        </is>
      </c>
      <c r="B1663" s="9" t="inlineStr">
        <is>
          <t xml:space="preserve">      Multi-tenant bucket operations</t>
        </is>
      </c>
      <c r="C1663" s="10">
        <f>HYPERLINK("https://www.ibm.com/docs/en/storage-ceph/9.9.1?topic=operations-multi-tenant-bucket","https://www.ibm.com/docs/en/storage-ceph/9.9.1?topic=operations-multi-tenant-bucket")</f>
        <v/>
      </c>
    </row>
    <row r="1664" ht="18" customHeight="1">
      <c r="A1664" s="8" t="inlineStr">
        <is>
          <t>24.3.3.39</t>
        </is>
      </c>
      <c r="B1664" s="9" t="inlineStr">
        <is>
          <t xml:space="preserve">      S3 Block Public Access</t>
        </is>
      </c>
      <c r="C1664" s="10">
        <f>HYPERLINK("https://www.ibm.com/docs/en/storage-ceph/9.9.1?topic=operations-s3-block-public-access","https://www.ibm.com/docs/en/storage-ceph/9.9.1?topic=operations-s3-block-public-access")</f>
        <v/>
      </c>
    </row>
    <row r="1665" ht="18" customHeight="1">
      <c r="A1665" s="8" t="inlineStr">
        <is>
          <t>24.3.3.40</t>
        </is>
      </c>
      <c r="B1665" s="9" t="inlineStr">
        <is>
          <t xml:space="preserve">      Set object ownership when creating a bucket</t>
        </is>
      </c>
      <c r="C1665" s="10">
        <f>HYPERLINK("https://www.ibm.com/docs/en/storage-ceph/9.9.1?topic=operations-set-object-ownership-when-creating-bucket","https://www.ibm.com/docs/en/storage-ceph/9.9.1?topic=operations-set-object-ownership-when-creating-bucket")</f>
        <v/>
      </c>
    </row>
    <row r="1666" ht="18" customHeight="1">
      <c r="A1666" s="8" t="inlineStr">
        <is>
          <t>24.3.3.41</t>
        </is>
      </c>
      <c r="B1666" s="9" t="inlineStr">
        <is>
          <t xml:space="preserve">      Updating bucket ownership controls</t>
        </is>
      </c>
      <c r="C1666" s="10">
        <f>HYPERLINK("https://www.ibm.com/docs/en/storage-ceph/9.9.1?topic=operations-updating-bucket-ownership-controls","https://www.ibm.com/docs/en/storage-ceph/9.9.1?topic=operations-updating-bucket-ownership-controls")</f>
        <v/>
      </c>
    </row>
    <row r="1667" ht="18" customHeight="1">
      <c r="A1667" s="8" t="inlineStr">
        <is>
          <t>24.3.4</t>
        </is>
      </c>
      <c r="B1667" s="9" t="inlineStr">
        <is>
          <t xml:space="preserve">    S3 object operations</t>
        </is>
      </c>
      <c r="C1667" s="10">
        <f>HYPERLINK("https://www.ibm.com/docs/en/storage-ceph/9.9.1?topic=api-s3-object-operations","https://www.ibm.com/docs/en/storage-ceph/9.9.1?topic=api-s3-object-operations")</f>
        <v/>
      </c>
    </row>
    <row r="1668" ht="18" customHeight="1">
      <c r="A1668" s="8" t="inlineStr">
        <is>
          <t>24.3.4.1</t>
        </is>
      </c>
      <c r="B1668" s="9" t="inlineStr">
        <is>
          <t xml:space="preserve">      Prerequisites</t>
        </is>
      </c>
      <c r="C1668" s="10">
        <f>HYPERLINK("https://www.ibm.com/docs/en/storage-ceph/9.9.1?topic=soo-prerequisites","https://www.ibm.com/docs/en/storage-ceph/9.9.1?topic=soo-prerequisites")</f>
        <v/>
      </c>
    </row>
    <row r="1669" ht="18" customHeight="1">
      <c r="A1669" s="8" t="inlineStr">
        <is>
          <t>24.3.4.2</t>
        </is>
      </c>
      <c r="B1669" s="9" t="inlineStr">
        <is>
          <t xml:space="preserve">      S3 get an object from a bucket</t>
        </is>
      </c>
      <c r="C1669" s="10">
        <f>HYPERLINK("https://www.ibm.com/docs/en/storage-ceph/9.9.1?topic=operations-s3-get-object-from-bucket","https://www.ibm.com/docs/en/storage-ceph/9.9.1?topic=operations-s3-get-object-from-bucket")</f>
        <v/>
      </c>
    </row>
    <row r="1670" ht="18" customHeight="1">
      <c r="A1670" s="8" t="inlineStr">
        <is>
          <t>24.3.4.3</t>
        </is>
      </c>
      <c r="B1670" s="9" t="inlineStr">
        <is>
          <t xml:space="preserve">      S3 get object attributes</t>
        </is>
      </c>
      <c r="C1670" s="10">
        <f>HYPERLINK("https://www.ibm.com/docs/en/storage-ceph/9.9.1?topic=operations-s3-get-object-attributes","https://www.ibm.com/docs/en/storage-ceph/9.9.1?topic=operations-s3-get-object-attributes")</f>
        <v/>
      </c>
    </row>
    <row r="1671" ht="18" customHeight="1">
      <c r="A1671" s="8" t="inlineStr">
        <is>
          <t>24.3.4.4</t>
        </is>
      </c>
      <c r="B1671" s="9" t="inlineStr">
        <is>
          <t xml:space="preserve">      Retrieve sync replication Headers of object</t>
        </is>
      </c>
      <c r="C1671" s="10">
        <f>HYPERLINK("https://www.ibm.com/docs/en/storage-ceph/9.9.1?topic=operations-retrieve-sync-replication-headers-object","https://www.ibm.com/docs/en/storage-ceph/9.9.1?topic=operations-retrieve-sync-replication-headers-object")</f>
        <v/>
      </c>
    </row>
    <row r="1672" ht="18" customHeight="1">
      <c r="A1672" s="8" t="inlineStr">
        <is>
          <t>24.3.4.5</t>
        </is>
      </c>
      <c r="B1672" s="9" t="inlineStr">
        <is>
          <t xml:space="preserve">      S3 put object lock</t>
        </is>
      </c>
      <c r="C1672" s="10">
        <f>HYPERLINK("https://www.ibm.com/docs/en/storage-ceph/9.9.1?topic=operations-s3-put-object-lock","https://www.ibm.com/docs/en/storage-ceph/9.9.1?topic=operations-s3-put-object-lock")</f>
        <v/>
      </c>
    </row>
    <row r="1673" ht="18" customHeight="1">
      <c r="A1673" s="8" t="inlineStr">
        <is>
          <t>24.3.4.6</t>
        </is>
      </c>
      <c r="B1673" s="9" t="inlineStr">
        <is>
          <t xml:space="preserve">      S3 get object lock</t>
        </is>
      </c>
      <c r="C1673" s="10">
        <f>HYPERLINK("https://www.ibm.com/docs/en/storage-ceph/9.9.1?topic=operations-s3-get-object-lock","https://www.ibm.com/docs/en/storage-ceph/9.9.1?topic=operations-s3-get-object-lock")</f>
        <v/>
      </c>
    </row>
    <row r="1674" ht="18" customHeight="1">
      <c r="A1674" s="8" t="inlineStr">
        <is>
          <t>24.3.4.7</t>
        </is>
      </c>
      <c r="B1674" s="9" t="inlineStr">
        <is>
          <t xml:space="preserve">      S3 put object legal hold</t>
        </is>
      </c>
      <c r="C1674" s="10">
        <f>HYPERLINK("https://www.ibm.com/docs/en/storage-ceph/9.9.1?topic=operations-s3-put-object-legal-hold","https://www.ibm.com/docs/en/storage-ceph/9.9.1?topic=operations-s3-put-object-legal-hold")</f>
        <v/>
      </c>
    </row>
    <row r="1675" ht="18" customHeight="1">
      <c r="A1675" s="8" t="inlineStr">
        <is>
          <t>24.3.4.8</t>
        </is>
      </c>
      <c r="B1675" s="9" t="inlineStr">
        <is>
          <t xml:space="preserve">      S3 get object legal hold</t>
        </is>
      </c>
      <c r="C1675" s="10">
        <f>HYPERLINK("https://www.ibm.com/docs/en/storage-ceph/9.9.1?topic=operations-s3-get-object-legal-hold","https://www.ibm.com/docs/en/storage-ceph/9.9.1?topic=operations-s3-get-object-legal-hold")</f>
        <v/>
      </c>
    </row>
    <row r="1676" ht="18" customHeight="1">
      <c r="A1676" s="8" t="inlineStr">
        <is>
          <t>24.3.4.9</t>
        </is>
      </c>
      <c r="B1676" s="9" t="inlineStr">
        <is>
          <t xml:space="preserve">      S3 put object retention</t>
        </is>
      </c>
      <c r="C1676" s="10">
        <f>HYPERLINK("https://www.ibm.com/docs/en/storage-ceph/9.9.1?topic=operations-s3-put-object-retention","https://www.ibm.com/docs/en/storage-ceph/9.9.1?topic=operations-s3-put-object-retention")</f>
        <v/>
      </c>
    </row>
    <row r="1677" ht="18" customHeight="1">
      <c r="A1677" s="8" t="inlineStr">
        <is>
          <t>24.3.4.10</t>
        </is>
      </c>
      <c r="B1677" s="9" t="inlineStr">
        <is>
          <t xml:space="preserve">      S3 get object retention</t>
        </is>
      </c>
      <c r="C1677" s="10">
        <f>HYPERLINK("https://www.ibm.com/docs/en/storage-ceph/9.9.1?topic=operations-s3-get-object-retention","https://www.ibm.com/docs/en/storage-ceph/9.9.1?topic=operations-s3-get-object-retention")</f>
        <v/>
      </c>
    </row>
    <row r="1678" ht="18" customHeight="1">
      <c r="A1678" s="8" t="inlineStr">
        <is>
          <t>24.3.4.11</t>
        </is>
      </c>
      <c r="B1678" s="9" t="inlineStr">
        <is>
          <t xml:space="preserve">      S3 put object tagging</t>
        </is>
      </c>
      <c r="C1678" s="10">
        <f>HYPERLINK("https://www.ibm.com/docs/en/storage-ceph/9.9.1?topic=operations-s3-put-object-tagging","https://www.ibm.com/docs/en/storage-ceph/9.9.1?topic=operations-s3-put-object-tagging")</f>
        <v/>
      </c>
    </row>
    <row r="1679" ht="18" customHeight="1">
      <c r="A1679" s="8" t="inlineStr">
        <is>
          <t>24.3.4.12</t>
        </is>
      </c>
      <c r="B1679" s="9" t="inlineStr">
        <is>
          <t xml:space="preserve">      S3 get object tagging</t>
        </is>
      </c>
      <c r="C1679" s="10">
        <f>HYPERLINK("https://www.ibm.com/docs/en/storage-ceph/9.9.1?topic=operations-s3-get-object-tagging","https://www.ibm.com/docs/en/storage-ceph/9.9.1?topic=operations-s3-get-object-tagging")</f>
        <v/>
      </c>
    </row>
    <row r="1680" ht="18" customHeight="1">
      <c r="A1680" s="8" t="inlineStr">
        <is>
          <t>24.3.4.13</t>
        </is>
      </c>
      <c r="B1680" s="9" t="inlineStr">
        <is>
          <t xml:space="preserve">      S3 delete object tagging</t>
        </is>
      </c>
      <c r="C1680" s="10">
        <f>HYPERLINK("https://www.ibm.com/docs/en/storage-ceph/9.9.1?topic=operations-s3-delete-object-tagging","https://www.ibm.com/docs/en/storage-ceph/9.9.1?topic=operations-s3-delete-object-tagging")</f>
        <v/>
      </c>
    </row>
    <row r="1681" ht="18" customHeight="1">
      <c r="A1681" s="8" t="inlineStr">
        <is>
          <t>24.3.4.14</t>
        </is>
      </c>
      <c r="B1681" s="9" t="inlineStr">
        <is>
          <t xml:space="preserve">      S3 add an object to a bucket</t>
        </is>
      </c>
      <c r="C1681" s="10">
        <f>HYPERLINK("https://www.ibm.com/docs/en/storage-ceph/9.9.1?topic=operations-s3-add-object-bucket","https://www.ibm.com/docs/en/storage-ceph/9.9.1?topic=operations-s3-add-object-bucket")</f>
        <v/>
      </c>
    </row>
    <row r="1682" ht="18" customHeight="1">
      <c r="A1682" s="8" t="inlineStr">
        <is>
          <t>24.3.4.15</t>
        </is>
      </c>
      <c r="B1682" s="9" t="inlineStr">
        <is>
          <t xml:space="preserve">      S3 delete an object</t>
        </is>
      </c>
      <c r="C1682" s="10">
        <f>HYPERLINK("https://www.ibm.com/docs/en/storage-ceph/9.9.1?topic=operations-s3-delete-object","https://www.ibm.com/docs/en/storage-ceph/9.9.1?topic=operations-s3-delete-object")</f>
        <v/>
      </c>
    </row>
    <row r="1683" ht="18" customHeight="1">
      <c r="A1683" s="8" t="inlineStr">
        <is>
          <t>24.3.4.16</t>
        </is>
      </c>
      <c r="B1683" s="9" t="inlineStr">
        <is>
          <t xml:space="preserve">      S3 delete multiple objects</t>
        </is>
      </c>
      <c r="C1683" s="10">
        <f>HYPERLINK("https://www.ibm.com/docs/en/storage-ceph/9.9.1?topic=operations-s3-delete-multiple-objects","https://www.ibm.com/docs/en/storage-ceph/9.9.1?topic=operations-s3-delete-multiple-objects")</f>
        <v/>
      </c>
    </row>
    <row r="1684" ht="18" customHeight="1">
      <c r="A1684" s="8" t="inlineStr">
        <is>
          <t>24.3.4.17</t>
        </is>
      </c>
      <c r="B1684" s="9" t="inlineStr">
        <is>
          <t xml:space="preserve">      S3 get an object’s Access Control List (ACL)</t>
        </is>
      </c>
      <c r="C1684" s="10">
        <f>HYPERLINK("https://www.ibm.com/docs/en/storage-ceph/9.9.1?topic=operations-s3-get-objects-access-control-list-acl","https://www.ibm.com/docs/en/storage-ceph/9.9.1?topic=operations-s3-get-objects-access-control-list-acl")</f>
        <v/>
      </c>
    </row>
    <row r="1685" ht="18" customHeight="1">
      <c r="A1685" s="8" t="inlineStr">
        <is>
          <t>24.3.4.18</t>
        </is>
      </c>
      <c r="B1685" s="9" t="inlineStr">
        <is>
          <t xml:space="preserve">      S3 set an object’s Access Control List (ACL)</t>
        </is>
      </c>
      <c r="C1685" s="10">
        <f>HYPERLINK("https://www.ibm.com/docs/en/storage-ceph/9.9.1?topic=operations-s3-set-objects-access-control-list-acl","https://www.ibm.com/docs/en/storage-ceph/9.9.1?topic=operations-s3-set-objects-access-control-list-acl")</f>
        <v/>
      </c>
    </row>
    <row r="1686" ht="18" customHeight="1">
      <c r="A1686" s="8" t="inlineStr">
        <is>
          <t>24.3.4.19</t>
        </is>
      </c>
      <c r="B1686" s="9" t="inlineStr">
        <is>
          <t xml:space="preserve">      S3 copy an object</t>
        </is>
      </c>
      <c r="C1686" s="10">
        <f>HYPERLINK("https://www.ibm.com/docs/en/storage-ceph/9.9.1?topic=operations-s3-copy-object","https://www.ibm.com/docs/en/storage-ceph/9.9.1?topic=operations-s3-copy-object")</f>
        <v/>
      </c>
    </row>
    <row r="1687" ht="18" customHeight="1">
      <c r="A1687" s="8" t="inlineStr">
        <is>
          <t>24.3.4.20</t>
        </is>
      </c>
      <c r="B1687" s="9" t="inlineStr">
        <is>
          <t xml:space="preserve">      S3 add an object to a bucket using HTML forms</t>
        </is>
      </c>
      <c r="C1687" s="10">
        <f>HYPERLINK("https://www.ibm.com/docs/en/storage-ceph/9.9.1?topic=operations-s3-add-object-bucket-using-html-forms","https://www.ibm.com/docs/en/storage-ceph/9.9.1?topic=operations-s3-add-object-bucket-using-html-forms")</f>
        <v/>
      </c>
    </row>
    <row r="1688" ht="18" customHeight="1">
      <c r="A1688" s="8" t="inlineStr">
        <is>
          <t>24.3.4.21</t>
        </is>
      </c>
      <c r="B1688" s="9" t="inlineStr">
        <is>
          <t xml:space="preserve">      S3 determine options for a request</t>
        </is>
      </c>
      <c r="C1688" s="10">
        <f>HYPERLINK("https://www.ibm.com/docs/en/storage-ceph/9.9.1?topic=operations-s3-determine-options-request","https://www.ibm.com/docs/en/storage-ceph/9.9.1?topic=operations-s3-determine-options-request")</f>
        <v/>
      </c>
    </row>
    <row r="1689" ht="18" customHeight="1">
      <c r="A1689" s="8" t="inlineStr">
        <is>
          <t>24.3.4.22</t>
        </is>
      </c>
      <c r="B1689" s="9" t="inlineStr">
        <is>
          <t xml:space="preserve">      S3 initiate a multipart upload</t>
        </is>
      </c>
      <c r="C1689" s="10">
        <f>HYPERLINK("https://www.ibm.com/docs/en/storage-ceph/9.9.1?topic=operations-s3-initiate-multipart-upload","https://www.ibm.com/docs/en/storage-ceph/9.9.1?topic=operations-s3-initiate-multipart-upload")</f>
        <v/>
      </c>
    </row>
    <row r="1690" ht="18" customHeight="1">
      <c r="A1690" s="8" t="inlineStr">
        <is>
          <t>24.3.4.23</t>
        </is>
      </c>
      <c r="B1690" s="9" t="inlineStr">
        <is>
          <t xml:space="preserve">      S3 add a part to a multipart upload</t>
        </is>
      </c>
      <c r="C1690" s="10">
        <f>HYPERLINK("https://www.ibm.com/docs/en/storage-ceph/9.9.1?topic=operations-s3-add-part-multipart-upload","https://www.ibm.com/docs/en/storage-ceph/9.9.1?topic=operations-s3-add-part-multipart-upload")</f>
        <v/>
      </c>
    </row>
    <row r="1691" ht="18" customHeight="1">
      <c r="A1691" s="8" t="inlineStr">
        <is>
          <t>24.3.4.24</t>
        </is>
      </c>
      <c r="B1691" s="9" t="inlineStr">
        <is>
          <t xml:space="preserve">      S3 list the parts of a multipart upload</t>
        </is>
      </c>
      <c r="C1691" s="10">
        <f>HYPERLINK("https://www.ibm.com/docs/en/storage-ceph/9.9.1?topic=operations-s3-list-parts-multipart-upload","https://www.ibm.com/docs/en/storage-ceph/9.9.1?topic=operations-s3-list-parts-multipart-upload")</f>
        <v/>
      </c>
    </row>
    <row r="1692" ht="18" customHeight="1">
      <c r="A1692" s="8" t="inlineStr">
        <is>
          <t>24.3.4.25</t>
        </is>
      </c>
      <c r="B1692" s="9" t="inlineStr">
        <is>
          <t xml:space="preserve">      S3 assemble the uploaded parts</t>
        </is>
      </c>
      <c r="C1692" s="10">
        <f>HYPERLINK("https://www.ibm.com/docs/en/storage-ceph/9.9.1?topic=operations-s3-assemble-uploaded-parts","https://www.ibm.com/docs/en/storage-ceph/9.9.1?topic=operations-s3-assemble-uploaded-parts")</f>
        <v/>
      </c>
    </row>
    <row r="1693" ht="18" customHeight="1">
      <c r="A1693" s="8" t="inlineStr">
        <is>
          <t>24.3.4.26</t>
        </is>
      </c>
      <c r="B1693" s="9" t="inlineStr">
        <is>
          <t xml:space="preserve">      S3 copy a multipart upload</t>
        </is>
      </c>
      <c r="C1693" s="10">
        <f>HYPERLINK("https://www.ibm.com/docs/en/storage-ceph/9.9.1?topic=operations-s3-copy-multipart-upload","https://www.ibm.com/docs/en/storage-ceph/9.9.1?topic=operations-s3-copy-multipart-upload")</f>
        <v/>
      </c>
    </row>
    <row r="1694" ht="18" customHeight="1">
      <c r="A1694" s="8" t="inlineStr">
        <is>
          <t>24.3.4.27</t>
        </is>
      </c>
      <c r="B1694" s="9" t="inlineStr">
        <is>
          <t xml:space="preserve">      S3 abort a multipart upload</t>
        </is>
      </c>
      <c r="C1694" s="10">
        <f>HYPERLINK("https://www.ibm.com/docs/en/storage-ceph/9.9.1?topic=operations-s3-abort-multipart-upload","https://www.ibm.com/docs/en/storage-ceph/9.9.1?topic=operations-s3-abort-multipart-upload")</f>
        <v/>
      </c>
    </row>
    <row r="1695" ht="18" customHeight="1">
      <c r="A1695" s="8" t="inlineStr">
        <is>
          <t>24.3.4.28</t>
        </is>
      </c>
      <c r="B1695" s="9" t="inlineStr">
        <is>
          <t xml:space="preserve">      S3 Hadoop interoperability</t>
        </is>
      </c>
      <c r="C1695" s="10">
        <f>HYPERLINK("https://www.ibm.com/docs/en/storage-ceph/9.9.1?topic=operations-s3-hadoop-interoperability","https://www.ibm.com/docs/en/storage-ceph/9.9.1?topic=operations-s3-hadoop-interoperability")</f>
        <v/>
      </c>
    </row>
    <row r="1696" ht="18" customHeight="1">
      <c r="A1696" s="8" t="inlineStr">
        <is>
          <t>24.3.5</t>
        </is>
      </c>
      <c r="B1696" s="9" t="inlineStr">
        <is>
          <t xml:space="preserve">    S3 select operations</t>
        </is>
      </c>
      <c r="C1696" s="10">
        <f>HYPERLINK("https://www.ibm.com/docs/en/storage-ceph/9.9.1?topic=api-s3-select-operations","https://www.ibm.com/docs/en/storage-ceph/9.9.1?topic=api-s3-select-operations")</f>
        <v/>
      </c>
    </row>
    <row r="1697" ht="18" customHeight="1">
      <c r="A1697" s="8" t="inlineStr">
        <is>
          <t>24.3.5.1</t>
        </is>
      </c>
      <c r="B1697" s="9" t="inlineStr">
        <is>
          <t xml:space="preserve">      Prerequisites</t>
        </is>
      </c>
      <c r="C1697" s="10">
        <f>HYPERLINK("https://www.ibm.com/docs/en/storage-ceph/9.9.1?topic=sso-prerequisites","https://www.ibm.com/docs/en/storage-ceph/9.9.1?topic=sso-prerequisites")</f>
        <v/>
      </c>
    </row>
    <row r="1698" ht="18" customHeight="1">
      <c r="A1698" s="8" t="inlineStr">
        <is>
          <t>24.3.5.2</t>
        </is>
      </c>
      <c r="B1698" s="9" t="inlineStr">
        <is>
          <t xml:space="preserve">      S3 select content from an object</t>
        </is>
      </c>
      <c r="C1698" s="10">
        <f>HYPERLINK("https://www.ibm.com/docs/en/storage-ceph/9.9.1?topic=operations-s3-select-content-from-object","https://www.ibm.com/docs/en/storage-ceph/9.9.1?topic=operations-s3-select-content-from-object")</f>
        <v/>
      </c>
    </row>
    <row r="1699" ht="18" customHeight="1">
      <c r="A1699" s="8" t="inlineStr">
        <is>
          <t>24.3.5.3</t>
        </is>
      </c>
      <c r="B1699" s="9" t="inlineStr">
        <is>
          <t xml:space="preserve">      S3 supported select functions</t>
        </is>
      </c>
      <c r="C1699" s="10">
        <f>HYPERLINK("https://www.ibm.com/docs/en/storage-ceph/9.9.1?topic=operations-s3-supported-select-functions","https://www.ibm.com/docs/en/storage-ceph/9.9.1?topic=operations-s3-supported-select-functions")</f>
        <v/>
      </c>
    </row>
    <row r="1700" ht="18" customHeight="1">
      <c r="A1700" s="8" t="inlineStr">
        <is>
          <t>24.3.5.4</t>
        </is>
      </c>
      <c r="B1700" s="9" t="inlineStr">
        <is>
          <t xml:space="preserve">      S3 alias programming construct</t>
        </is>
      </c>
      <c r="C1700" s="10">
        <f>HYPERLINK("https://www.ibm.com/docs/en/storage-ceph/9.9.1?topic=operations-s3-alias-programming-construct","https://www.ibm.com/docs/en/storage-ceph/9.9.1?topic=operations-s3-alias-programming-construct")</f>
        <v/>
      </c>
    </row>
    <row r="1701" ht="18" customHeight="1">
      <c r="A1701" s="8" t="inlineStr">
        <is>
          <t>24.3.5.5</t>
        </is>
      </c>
      <c r="B1701" s="9" t="inlineStr">
        <is>
          <t xml:space="preserve">      S3 parsing explained</t>
        </is>
      </c>
      <c r="C1701" s="10">
        <f>HYPERLINK("https://www.ibm.com/docs/en/storage-ceph/9.9.1?topic=operations-s3-parsing-explained","https://www.ibm.com/docs/en/storage-ceph/9.9.1?topic=operations-s3-parsing-explained")</f>
        <v/>
      </c>
    </row>
    <row r="1702" ht="18" customHeight="1">
      <c r="A1702" s="8" t="inlineStr">
        <is>
          <t>24.3.5.5.1</t>
        </is>
      </c>
      <c r="B1702" s="9" t="inlineStr">
        <is>
          <t xml:space="preserve">        S3 CSV parsing</t>
        </is>
      </c>
      <c r="C1702" s="10">
        <f>HYPERLINK("https://www.ibm.com/docs/en/storage-ceph/9.9.1?topic=explained-s3-csv-parsing","https://www.ibm.com/docs/en/storage-ceph/9.9.1?topic=explained-s3-csv-parsing")</f>
        <v/>
      </c>
    </row>
    <row r="1703" ht="18" customHeight="1">
      <c r="A1703" s="8" t="inlineStr">
        <is>
          <t>24.3.5.5.2</t>
        </is>
      </c>
      <c r="B1703" s="9" t="inlineStr">
        <is>
          <t xml:space="preserve">        S3 Parquet parsing</t>
        </is>
      </c>
      <c r="C1703" s="10">
        <f>HYPERLINK("https://www.ibm.com/docs/en/storage-ceph/9.9.1?topic=explained-s3-parquet-parsing","https://www.ibm.com/docs/en/storage-ceph/9.9.1?topic=explained-s3-parquet-parsing")</f>
        <v/>
      </c>
    </row>
    <row r="1704" ht="18" customHeight="1">
      <c r="A1704" s="8" t="inlineStr">
        <is>
          <t>24.3.5.5.3</t>
        </is>
      </c>
      <c r="B1704" s="9" t="inlineStr">
        <is>
          <t xml:space="preserve">        S3 JSON parsing</t>
        </is>
      </c>
      <c r="C1704" s="10">
        <f>HYPERLINK("https://www.ibm.com/docs/en/storage-ceph/9.9.1?topic=explained-s3-json-parsing","https://www.ibm.com/docs/en/storage-ceph/9.9.1?topic=explained-s3-json-parsing")</f>
        <v/>
      </c>
    </row>
    <row r="1705" ht="18" customHeight="1">
      <c r="A1705" s="8" t="inlineStr">
        <is>
          <t>24.3.5.6</t>
        </is>
      </c>
      <c r="B1705" s="9" t="inlineStr">
        <is>
          <t xml:space="preserve">      S3 SQL limit operator</t>
        </is>
      </c>
      <c r="C1705" s="10">
        <f>HYPERLINK("https://www.ibm.com/docs/en/storage-ceph/9.9.1?topic=operations-s3-sql-limit-operator","https://www.ibm.com/docs/en/storage-ceph/9.9.1?topic=operations-s3-sql-limit-operator")</f>
        <v/>
      </c>
    </row>
    <row r="1706" ht="18" customHeight="1">
      <c r="A1706" s="8" t="inlineStr">
        <is>
          <t>24.3.5.7</t>
        </is>
      </c>
      <c r="B1706" s="9" t="inlineStr">
        <is>
          <t xml:space="preserve">      Integrating Ceph Object Gateway with Trino</t>
        </is>
      </c>
      <c r="C1706" s="10">
        <f>HYPERLINK("https://www.ibm.com/docs/en/storage-ceph/9.9.1?topic=operations-integrating-ceph-object-gateway-trino","https://www.ibm.com/docs/en/storage-ceph/9.9.1?topic=operations-integrating-ceph-object-gateway-trino")</f>
        <v/>
      </c>
    </row>
    <row r="1707" ht="18" customHeight="1">
      <c r="A1707" s="8" t="inlineStr">
        <is>
          <t>24.3.6</t>
        </is>
      </c>
      <c r="B1707" s="9" t="inlineStr">
        <is>
          <t xml:space="preserve">    S3 object ownership</t>
        </is>
      </c>
      <c r="C1707" s="10">
        <f>HYPERLINK("https://www.ibm.com/docs/en/storage-ceph/9.9.1?topic=api-s3-object-ownership","https://www.ibm.com/docs/en/storage-ceph/9.9.1?topic=api-s3-object-ownership")</f>
        <v/>
      </c>
    </row>
    <row r="1708" ht="18" customHeight="1">
      <c r="A1708" s="8" t="inlineStr">
        <is>
          <t>24.3.7</t>
        </is>
      </c>
      <c r="B1708" s="9" t="inlineStr">
        <is>
          <t xml:space="preserve">    S3 Control operations</t>
        </is>
      </c>
      <c r="C1708" s="10">
        <f>HYPERLINK("https://www.ibm.com/docs/en/storage-ceph/9.9.1?topic=api-s3-control-operations","https://www.ibm.com/docs/en/storage-ceph/9.9.1?topic=api-s3-control-operations")</f>
        <v/>
      </c>
    </row>
    <row r="1709" ht="18" customHeight="1">
      <c r="A1709" s="8" t="inlineStr">
        <is>
          <t>24.3.7.1</t>
        </is>
      </c>
      <c r="B1709" s="9" t="inlineStr">
        <is>
          <t xml:space="preserve">      S3 GET PublicAccessBlock</t>
        </is>
      </c>
      <c r="C1709" s="10">
        <f>HYPERLINK("https://www.ibm.com/docs/en/storage-ceph/9.9.1?topic=operations-s3-get-publicaccessblock","https://www.ibm.com/docs/en/storage-ceph/9.9.1?topic=operations-s3-get-publicaccessblock")</f>
        <v/>
      </c>
    </row>
    <row r="1710" ht="18" customHeight="1">
      <c r="A1710" s="8" t="inlineStr">
        <is>
          <t>24.3.7.2</t>
        </is>
      </c>
      <c r="B1710" s="9" t="inlineStr">
        <is>
          <t xml:space="preserve">      S3 PUT PublicAccessBlock</t>
        </is>
      </c>
      <c r="C1710" s="10">
        <f>HYPERLINK("https://www.ibm.com/docs/en/storage-ceph/9.9.1?topic=operations-s3-put-publicaccessblock","https://www.ibm.com/docs/en/storage-ceph/9.9.1?topic=operations-s3-put-publicaccessblock")</f>
        <v/>
      </c>
    </row>
    <row r="1711" ht="18" customHeight="1">
      <c r="A1711" s="8" t="inlineStr">
        <is>
          <t>24.3.7.3</t>
        </is>
      </c>
      <c r="B1711" s="9" t="inlineStr">
        <is>
          <t xml:space="preserve">      S3 delete PublicAccessBlock</t>
        </is>
      </c>
      <c r="C1711" s="10">
        <f>HYPERLINK("https://www.ibm.com/docs/en/storage-ceph/9.9.1?topic=operations-s3-delete-publicaccessblock","https://www.ibm.com/docs/en/storage-ceph/9.9.1?topic=operations-s3-delete-publicaccessblock")</f>
        <v/>
      </c>
    </row>
    <row r="1712" ht="18" customHeight="1">
      <c r="A1712" s="5" t="inlineStr">
        <is>
          <t>24.4</t>
        </is>
      </c>
      <c r="B1712" s="6" t="inlineStr">
        <is>
          <t xml:space="preserve">  Ceph Object Gateway and the Swift API</t>
        </is>
      </c>
      <c r="C1712" s="7">
        <f>HYPERLINK("https://www.ibm.com/docs/en/storage-ceph/9.9.1?topic=developer-ceph-object-gateway-swift-api","https://www.ibm.com/docs/en/storage-ceph/9.9.1?topic=developer-ceph-object-gateway-swift-api")</f>
        <v/>
      </c>
    </row>
    <row r="1713" ht="18" customHeight="1">
      <c r="A1713" s="8" t="inlineStr">
        <is>
          <t>24.4.1</t>
        </is>
      </c>
      <c r="B1713" s="9" t="inlineStr">
        <is>
          <t xml:space="preserve">    Swift API limitations</t>
        </is>
      </c>
      <c r="C1713" s="10">
        <f>HYPERLINK("https://www.ibm.com/docs/en/storage-ceph/9.9.1?topic=api-swift-limitations","https://www.ibm.com/docs/en/storage-ceph/9.9.1?topic=api-swift-limitations")</f>
        <v/>
      </c>
    </row>
    <row r="1714" ht="18" customHeight="1">
      <c r="A1714" s="8" t="inlineStr">
        <is>
          <t>24.4.2</t>
        </is>
      </c>
      <c r="B1714" s="9" t="inlineStr">
        <is>
          <t xml:space="preserve">    Create a Swift user</t>
        </is>
      </c>
      <c r="C1714" s="10">
        <f>HYPERLINK("https://www.ibm.com/docs/en/storage-ceph/9.9.1?topic=api-create-swift-user","https://www.ibm.com/docs/en/storage-ceph/9.9.1?topic=api-create-swift-user")</f>
        <v/>
      </c>
    </row>
    <row r="1715" ht="18" customHeight="1">
      <c r="A1715" s="8" t="inlineStr">
        <is>
          <t>24.4.3</t>
        </is>
      </c>
      <c r="B1715" s="9" t="inlineStr">
        <is>
          <t xml:space="preserve">    Swift authenticating a user</t>
        </is>
      </c>
      <c r="C1715" s="10">
        <f>HYPERLINK("https://www.ibm.com/docs/en/storage-ceph/9.9.1?topic=api-swift-authenticating-user","https://www.ibm.com/docs/en/storage-ceph/9.9.1?topic=api-swift-authenticating-user")</f>
        <v/>
      </c>
    </row>
    <row r="1716" ht="18" customHeight="1">
      <c r="A1716" s="8" t="inlineStr">
        <is>
          <t>24.4.4</t>
        </is>
      </c>
      <c r="B1716" s="9" t="inlineStr">
        <is>
          <t xml:space="preserve">    Swift container operations</t>
        </is>
      </c>
      <c r="C1716" s="10">
        <f>HYPERLINK("https://www.ibm.com/docs/en/storage-ceph/9.9.1?topic=api-swift-container-operations","https://www.ibm.com/docs/en/storage-ceph/9.9.1?topic=api-swift-container-operations")</f>
        <v/>
      </c>
    </row>
    <row r="1717" ht="18" customHeight="1">
      <c r="A1717" s="8" t="inlineStr">
        <is>
          <t>24.4.4.1</t>
        </is>
      </c>
      <c r="B1717" s="9" t="inlineStr">
        <is>
          <t xml:space="preserve">      Prerequisites</t>
        </is>
      </c>
      <c r="C1717" s="10">
        <f>HYPERLINK("https://www.ibm.com/docs/en/storage-ceph/9.9.1?topic=sco-prerequisites","https://www.ibm.com/docs/en/storage-ceph/9.9.1?topic=sco-prerequisites")</f>
        <v/>
      </c>
    </row>
    <row r="1718" ht="18" customHeight="1">
      <c r="A1718" s="8" t="inlineStr">
        <is>
          <t>24.4.4.2</t>
        </is>
      </c>
      <c r="B1718" s="9" t="inlineStr">
        <is>
          <t xml:space="preserve">      Swift container operations</t>
        </is>
      </c>
      <c r="C1718" s="10">
        <f>HYPERLINK("https://www.ibm.com/docs/en/storage-ceph/9.9.1?topic=operations-swift-container","https://www.ibm.com/docs/en/storage-ceph/9.9.1?topic=operations-swift-container")</f>
        <v/>
      </c>
    </row>
    <row r="1719" ht="18" customHeight="1">
      <c r="A1719" s="8" t="inlineStr">
        <is>
          <t>24.4.4.3</t>
        </is>
      </c>
      <c r="B1719" s="9" t="inlineStr">
        <is>
          <t xml:space="preserve">      Swift update a container’s Access Control List (ACL)</t>
        </is>
      </c>
      <c r="C1719" s="10">
        <f>HYPERLINK("https://www.ibm.com/docs/en/storage-ceph/9.9.1?topic=operations-swift-update-containers-access-control-list-acl","https://www.ibm.com/docs/en/storage-ceph/9.9.1?topic=operations-swift-update-containers-access-control-list-acl")</f>
        <v/>
      </c>
    </row>
    <row r="1720" ht="18" customHeight="1">
      <c r="A1720" s="8" t="inlineStr">
        <is>
          <t>24.4.4.4</t>
        </is>
      </c>
      <c r="B1720" s="9" t="inlineStr">
        <is>
          <t xml:space="preserve">      Swift list containers</t>
        </is>
      </c>
      <c r="C1720" s="10">
        <f>HYPERLINK("https://www.ibm.com/docs/en/storage-ceph/9.9.1?topic=operations-swift-list-containers","https://www.ibm.com/docs/en/storage-ceph/9.9.1?topic=operations-swift-list-containers")</f>
        <v/>
      </c>
    </row>
    <row r="1721" ht="18" customHeight="1">
      <c r="A1721" s="8" t="inlineStr">
        <is>
          <t>24.4.4.5</t>
        </is>
      </c>
      <c r="B1721" s="9" t="inlineStr">
        <is>
          <t xml:space="preserve">      Swift list a container’s objects</t>
        </is>
      </c>
      <c r="C1721" s="10">
        <f>HYPERLINK("https://www.ibm.com/docs/en/storage-ceph/9.9.1?topic=operations-swift-list-containers-objects","https://www.ibm.com/docs/en/storage-ceph/9.9.1?topic=operations-swift-list-containers-objects")</f>
        <v/>
      </c>
    </row>
    <row r="1722" ht="18" customHeight="1">
      <c r="A1722" s="8" t="inlineStr">
        <is>
          <t>24.4.4.6</t>
        </is>
      </c>
      <c r="B1722" s="9" t="inlineStr">
        <is>
          <t xml:space="preserve">      Swift create a container</t>
        </is>
      </c>
      <c r="C1722" s="10">
        <f>HYPERLINK("https://www.ibm.com/docs/en/storage-ceph/9.9.1?topic=operations-swift-create-container","https://www.ibm.com/docs/en/storage-ceph/9.9.1?topic=operations-swift-create-container")</f>
        <v/>
      </c>
    </row>
    <row r="1723" ht="18" customHeight="1">
      <c r="A1723" s="8" t="inlineStr">
        <is>
          <t>24.4.4.7</t>
        </is>
      </c>
      <c r="B1723" s="9" t="inlineStr">
        <is>
          <t xml:space="preserve">      Swift delete a container</t>
        </is>
      </c>
      <c r="C1723" s="10">
        <f>HYPERLINK("https://www.ibm.com/docs/en/storage-ceph/9.9.1?topic=operations-swift-delete-container","https://www.ibm.com/docs/en/storage-ceph/9.9.1?topic=operations-swift-delete-container")</f>
        <v/>
      </c>
    </row>
    <row r="1724" ht="18" customHeight="1">
      <c r="A1724" s="8" t="inlineStr">
        <is>
          <t>24.4.4.8</t>
        </is>
      </c>
      <c r="B1724" s="9" t="inlineStr">
        <is>
          <t xml:space="preserve">      Swift add or update the container metadata</t>
        </is>
      </c>
      <c r="C1724" s="10">
        <f>HYPERLINK("https://www.ibm.com/docs/en/storage-ceph/9.9.1?topic=operations-swift-add-update-container-metadata","https://www.ibm.com/docs/en/storage-ceph/9.9.1?topic=operations-swift-add-update-container-metadata")</f>
        <v/>
      </c>
    </row>
    <row r="1725" ht="18" customHeight="1">
      <c r="A1725" s="8" t="inlineStr">
        <is>
          <t>24.4.5</t>
        </is>
      </c>
      <c r="B1725" s="9" t="inlineStr">
        <is>
          <t xml:space="preserve">    Swift object operations</t>
        </is>
      </c>
      <c r="C1725" s="10">
        <f>HYPERLINK("https://www.ibm.com/docs/en/storage-ceph/9.9.1?topic=api-swift-object-operations","https://www.ibm.com/docs/en/storage-ceph/9.9.1?topic=api-swift-object-operations")</f>
        <v/>
      </c>
    </row>
    <row r="1726" ht="18" customHeight="1">
      <c r="A1726" s="8" t="inlineStr">
        <is>
          <t>24.4.5.1</t>
        </is>
      </c>
      <c r="B1726" s="9" t="inlineStr">
        <is>
          <t xml:space="preserve">      Prerequisites</t>
        </is>
      </c>
      <c r="C1726" s="10">
        <f>HYPERLINK("https://www.ibm.com/docs/en/storage-ceph/9.9.1?topic=soo-prerequisites-1","https://www.ibm.com/docs/en/storage-ceph/9.9.1?topic=soo-prerequisites-1")</f>
        <v/>
      </c>
    </row>
    <row r="1727" ht="18" customHeight="1">
      <c r="A1727" s="8" t="inlineStr">
        <is>
          <t>24.4.5.2</t>
        </is>
      </c>
      <c r="B1727" s="9" t="inlineStr">
        <is>
          <t xml:space="preserve">      Swift object operations</t>
        </is>
      </c>
      <c r="C1727" s="10">
        <f>HYPERLINK("https://www.ibm.com/docs/en/storage-ceph/9.9.1?topic=operations-swift-object","https://www.ibm.com/docs/en/storage-ceph/9.9.1?topic=operations-swift-object")</f>
        <v/>
      </c>
    </row>
    <row r="1728" ht="18" customHeight="1">
      <c r="A1728" s="8" t="inlineStr">
        <is>
          <t>24.4.5.3</t>
        </is>
      </c>
      <c r="B1728" s="9" t="inlineStr">
        <is>
          <t xml:space="preserve">      Swift get an object</t>
        </is>
      </c>
      <c r="C1728" s="10">
        <f>HYPERLINK("https://www.ibm.com/docs/en/storage-ceph/9.9.1?topic=operations-swift-get-object","https://www.ibm.com/docs/en/storage-ceph/9.9.1?topic=operations-swift-get-object")</f>
        <v/>
      </c>
    </row>
    <row r="1729" ht="18" customHeight="1">
      <c r="A1729" s="8" t="inlineStr">
        <is>
          <t>24.4.5.4</t>
        </is>
      </c>
      <c r="B1729" s="9" t="inlineStr">
        <is>
          <t xml:space="preserve">      Swift create or update an object</t>
        </is>
      </c>
      <c r="C1729" s="10">
        <f>HYPERLINK("https://www.ibm.com/docs/en/storage-ceph/9.9.1?topic=operations-swift-create-update-object","https://www.ibm.com/docs/en/storage-ceph/9.9.1?topic=operations-swift-create-update-object")</f>
        <v/>
      </c>
    </row>
    <row r="1730" ht="18" customHeight="1">
      <c r="A1730" s="8" t="inlineStr">
        <is>
          <t>24.4.5.5</t>
        </is>
      </c>
      <c r="B1730" s="9" t="inlineStr">
        <is>
          <t xml:space="preserve">      Swift delete an object</t>
        </is>
      </c>
      <c r="C1730" s="10">
        <f>HYPERLINK("https://www.ibm.com/docs/en/storage-ceph/9.9.1?topic=operations-swift-delete-object","https://www.ibm.com/docs/en/storage-ceph/9.9.1?topic=operations-swift-delete-object")</f>
        <v/>
      </c>
    </row>
    <row r="1731" ht="18" customHeight="1">
      <c r="A1731" s="8" t="inlineStr">
        <is>
          <t>24.4.5.6</t>
        </is>
      </c>
      <c r="B1731" s="9" t="inlineStr">
        <is>
          <t xml:space="preserve">      Swift copy an object</t>
        </is>
      </c>
      <c r="C1731" s="10">
        <f>HYPERLINK("https://www.ibm.com/docs/en/storage-ceph/9.9.1?topic=operations-swift-copy-object","https://www.ibm.com/docs/en/storage-ceph/9.9.1?topic=operations-swift-copy-object")</f>
        <v/>
      </c>
    </row>
    <row r="1732" ht="18" customHeight="1">
      <c r="A1732" s="8" t="inlineStr">
        <is>
          <t>24.4.5.7</t>
        </is>
      </c>
      <c r="B1732" s="9" t="inlineStr">
        <is>
          <t xml:space="preserve">      Swift get object metadata</t>
        </is>
      </c>
      <c r="C1732" s="10">
        <f>HYPERLINK("https://www.ibm.com/docs/en/storage-ceph/9.9.1?topic=operations-swift-get-object-metadata","https://www.ibm.com/docs/en/storage-ceph/9.9.1?topic=operations-swift-get-object-metadata")</f>
        <v/>
      </c>
    </row>
    <row r="1733" ht="18" customHeight="1">
      <c r="A1733" s="8" t="inlineStr">
        <is>
          <t>24.4.5.8</t>
        </is>
      </c>
      <c r="B1733" s="9" t="inlineStr">
        <is>
          <t xml:space="preserve">      Swift add or update object metadata</t>
        </is>
      </c>
      <c r="C1733" s="10">
        <f>HYPERLINK("https://www.ibm.com/docs/en/storage-ceph/9.9.1?topic=operations-swift-add-update-object-metadata","https://www.ibm.com/docs/en/storage-ceph/9.9.1?topic=operations-swift-add-update-object-metadata")</f>
        <v/>
      </c>
    </row>
    <row r="1734" ht="18" customHeight="1">
      <c r="A1734" s="8" t="inlineStr">
        <is>
          <t>24.4.6</t>
        </is>
      </c>
      <c r="B1734" s="9" t="inlineStr">
        <is>
          <t xml:space="preserve">    Swift temporary URL operations</t>
        </is>
      </c>
      <c r="C1734" s="10">
        <f>HYPERLINK("https://www.ibm.com/docs/en/storage-ceph/9.9.1?topic=api-swift-temporary-url-operations","https://www.ibm.com/docs/en/storage-ceph/9.9.1?topic=api-swift-temporary-url-operations")</f>
        <v/>
      </c>
    </row>
    <row r="1735" ht="18" customHeight="1">
      <c r="A1735" s="8" t="inlineStr">
        <is>
          <t>24.4.6.1</t>
        </is>
      </c>
      <c r="B1735" s="9" t="inlineStr">
        <is>
          <t xml:space="preserve">      Swift get temporary URL objects</t>
        </is>
      </c>
      <c r="C1735" s="10">
        <f>HYPERLINK("https://www.ibm.com/docs/en/storage-ceph/9.9.1?topic=operations-swift-get-temporary-url-objects","https://www.ibm.com/docs/en/storage-ceph/9.9.1?topic=operations-swift-get-temporary-url-objects")</f>
        <v/>
      </c>
    </row>
    <row r="1736" ht="18" customHeight="1">
      <c r="A1736" s="8" t="inlineStr">
        <is>
          <t>24.4.6.2</t>
        </is>
      </c>
      <c r="B1736" s="9" t="inlineStr">
        <is>
          <t xml:space="preserve">      Swift POST temporary URL keys</t>
        </is>
      </c>
      <c r="C1736" s="10">
        <f>HYPERLINK("https://www.ibm.com/docs/en/storage-ceph/9.9.1?topic=operations-swift-post-temporary-url-keys","https://www.ibm.com/docs/en/storage-ceph/9.9.1?topic=operations-swift-post-temporary-url-keys")</f>
        <v/>
      </c>
    </row>
    <row r="1737" ht="18" customHeight="1">
      <c r="A1737" s="8" t="inlineStr">
        <is>
          <t>24.4.7</t>
        </is>
      </c>
      <c r="B1737" s="9" t="inlineStr">
        <is>
          <t xml:space="preserve">    Swift multi-tenancy container operations</t>
        </is>
      </c>
      <c r="C1737" s="10">
        <f>HYPERLINK("https://www.ibm.com/docs/en/storage-ceph/9.9.1?topic=api-swift-multi-tenancy-container-operations","https://www.ibm.com/docs/en/storage-ceph/9.9.1?topic=api-swift-multi-tenancy-container-operations")</f>
        <v/>
      </c>
    </row>
    <row r="1738" ht="18" customHeight="1">
      <c r="A1738" s="5" t="inlineStr">
        <is>
          <t>24.5</t>
        </is>
      </c>
      <c r="B1738" s="6" t="inlineStr">
        <is>
          <t xml:space="preserve">  Ceph RESTful API specifications</t>
        </is>
      </c>
      <c r="C1738" s="7">
        <f>HYPERLINK("https://www.ibm.com/docs/en/storage-ceph/9.9.1?topic=developer-ceph-restful-api-specifications","https://www.ibm.com/docs/en/storage-ceph/9.9.1?topic=developer-ceph-restful-api-specifications")</f>
        <v/>
      </c>
    </row>
    <row r="1739" ht="18" customHeight="1">
      <c r="A1739" s="8" t="inlineStr">
        <is>
          <t>24.5.1</t>
        </is>
      </c>
      <c r="B1739" s="9" t="inlineStr">
        <is>
          <t xml:space="preserve">    Ceph RESTful APIs</t>
        </is>
      </c>
      <c r="C1739" s="10">
        <f>HYPERLINK("https://www.ibm.com/docs/en/storage-ceph/9.9.1?topic=specifications-ceph-restful-apis","https://www.ibm.com/docs/en/storage-ceph/9.9.1?topic=specifications-ceph-restful-apis")</f>
        <v/>
      </c>
    </row>
    <row r="1740" ht="18" customHeight="1">
      <c r="A1740" s="5" t="inlineStr">
        <is>
          <t>24.6</t>
        </is>
      </c>
      <c r="B1740" s="6" t="inlineStr">
        <is>
          <t xml:space="preserve">  S3 common request headers</t>
        </is>
      </c>
      <c r="C1740" s="7">
        <f>HYPERLINK("https://www.ibm.com/docs/en/storage-ceph/9.9.1?topic=developer-s3-common-request-headers","https://www.ibm.com/docs/en/storage-ceph/9.9.1?topic=developer-s3-common-request-headers")</f>
        <v/>
      </c>
    </row>
    <row r="1741" ht="18" customHeight="1">
      <c r="A1741" s="5" t="inlineStr">
        <is>
          <t>24.7</t>
        </is>
      </c>
      <c r="B1741" s="6" t="inlineStr">
        <is>
          <t xml:space="preserve">  S3 common response status codes</t>
        </is>
      </c>
      <c r="C1741" s="7">
        <f>HYPERLINK("https://www.ibm.com/docs/en/storage-ceph/9.9.1?topic=developer-s3-common-response-status-codes","https://www.ibm.com/docs/en/storage-ceph/9.9.1?topic=developer-s3-common-response-status-codes")</f>
        <v/>
      </c>
    </row>
    <row r="1742" ht="18" customHeight="1">
      <c r="A1742" s="5" t="inlineStr">
        <is>
          <t>24.8</t>
        </is>
      </c>
      <c r="B1742" s="6" t="inlineStr">
        <is>
          <t xml:space="preserve">  S3 supported and unsupported verbs</t>
        </is>
      </c>
      <c r="C1742" s="7">
        <f>HYPERLINK("https://www.ibm.com/docs/en/storage-ceph/9.9.1?topic=developer-s3-supported-unsupported-verbs","https://www.ibm.com/docs/en/storage-ceph/9.9.1?topic=developer-s3-supported-unsupported-verbs")</f>
        <v/>
      </c>
    </row>
    <row r="1743" ht="18" customHeight="1">
      <c r="A1743" s="5" t="inlineStr">
        <is>
          <t>24.9</t>
        </is>
      </c>
      <c r="B1743" s="6" t="inlineStr">
        <is>
          <t xml:space="preserve">  S3 unsupported header fields</t>
        </is>
      </c>
      <c r="C1743" s="7">
        <f>HYPERLINK("https://www.ibm.com/docs/en/storage-ceph/9.9.1?topic=developer-s3-unsupported-header-fields","https://www.ibm.com/docs/en/storage-ceph/9.9.1?topic=developer-s3-unsupported-header-fields")</f>
        <v/>
      </c>
    </row>
    <row r="1744" ht="18" customHeight="1">
      <c r="A1744" s="5" t="inlineStr">
        <is>
          <t>24.10</t>
        </is>
      </c>
      <c r="B1744" s="6" t="inlineStr">
        <is>
          <t xml:space="preserve">  Swift request headers</t>
        </is>
      </c>
      <c r="C1744" s="7">
        <f>HYPERLINK("https://www.ibm.com/docs/en/storage-ceph/9.9.1?topic=developer-swift-request-headers","https://www.ibm.com/docs/en/storage-ceph/9.9.1?topic=developer-swift-request-headers")</f>
        <v/>
      </c>
    </row>
    <row r="1745" ht="18" customHeight="1">
      <c r="A1745" s="5" t="inlineStr">
        <is>
          <t>24.11</t>
        </is>
      </c>
      <c r="B1745" s="6" t="inlineStr">
        <is>
          <t xml:space="preserve">  Swift response headers</t>
        </is>
      </c>
      <c r="C1745" s="7">
        <f>HYPERLINK("https://www.ibm.com/docs/en/storage-ceph/9.9.1?topic=developer-swift-response-headers","https://www.ibm.com/docs/en/storage-ceph/9.9.1?topic=developer-swift-response-headers")</f>
        <v/>
      </c>
    </row>
    <row r="1746" ht="18" customHeight="1">
      <c r="A1746" s="5" t="inlineStr">
        <is>
          <t>24.12</t>
        </is>
      </c>
      <c r="B1746" s="6" t="inlineStr">
        <is>
          <t xml:space="preserve">  Examples using the Secure Token Service APIs</t>
        </is>
      </c>
      <c r="C1746" s="7">
        <f>HYPERLINK("https://www.ibm.com/docs/en/storage-ceph/9.9.1?topic=developer-examples-using-secure-token-service-apis","https://www.ibm.com/docs/en/storage-ceph/9.9.1?topic=developer-examples-using-secure-token-service-apis")</f>
        <v/>
      </c>
    </row>
    <row r="1747" ht="18" customHeight="1">
      <c r="A1747" s="2" t="inlineStr">
        <is>
          <t>25</t>
        </is>
      </c>
      <c r="B1747" s="3" t="inlineStr">
        <is>
          <t>Troubleshooting</t>
        </is>
      </c>
      <c r="C1747" s="4">
        <f>HYPERLINK("https://www.ibm.com/docs/en/storage-ceph/9.9.1?topic=troubleshooting","https://www.ibm.com/docs/en/storage-ceph/9.9.1?topic=troubleshooting")</f>
        <v/>
      </c>
    </row>
    <row r="1748" ht="18" customHeight="1">
      <c r="A1748" s="5" t="inlineStr">
        <is>
          <t>25.1</t>
        </is>
      </c>
      <c r="B1748" s="6" t="inlineStr">
        <is>
          <t xml:space="preserve">  Initial troubleshooting</t>
        </is>
      </c>
      <c r="C1748" s="7">
        <f>HYPERLINK("https://www.ibm.com/docs/en/storage-ceph/9.9.1?topic=troubleshooting-initial","https://www.ibm.com/docs/en/storage-ceph/9.9.1?topic=troubleshooting-initial")</f>
        <v/>
      </c>
    </row>
    <row r="1749" ht="18" customHeight="1">
      <c r="A1749" s="8" t="inlineStr">
        <is>
          <t>25.1.1</t>
        </is>
      </c>
      <c r="B1749" s="9" t="inlineStr">
        <is>
          <t xml:space="preserve">    Identifying problems</t>
        </is>
      </c>
      <c r="C1749" s="10">
        <f>HYPERLINK("https://www.ibm.com/docs/en/storage-ceph/9.9.1?topic=troubleshooting-identifying-problems","https://www.ibm.com/docs/en/storage-ceph/9.9.1?topic=troubleshooting-identifying-problems")</f>
        <v/>
      </c>
    </row>
    <row r="1750" ht="18" customHeight="1">
      <c r="A1750" s="8" t="inlineStr">
        <is>
          <t>25.1.2</t>
        </is>
      </c>
      <c r="B1750" s="9" t="inlineStr">
        <is>
          <t xml:space="preserve">    Diagnosing health</t>
        </is>
      </c>
      <c r="C1750" s="10">
        <f>HYPERLINK("https://www.ibm.com/docs/en/storage-ceph/9.9.1?topic=troubleshooting-diagnosing-health","https://www.ibm.com/docs/en/storage-ceph/9.9.1?topic=troubleshooting-diagnosing-health")</f>
        <v/>
      </c>
    </row>
    <row r="1751" ht="18" customHeight="1">
      <c r="A1751" s="8" t="inlineStr">
        <is>
          <t>25.1.3</t>
        </is>
      </c>
      <c r="B1751" s="9" t="inlineStr">
        <is>
          <t xml:space="preserve">    Understanding Ceph health</t>
        </is>
      </c>
      <c r="C1751" s="10">
        <f>HYPERLINK("https://www.ibm.com/docs/en/storage-ceph/9.9.1?topic=troubleshooting-understanding-ceph-health","https://www.ibm.com/docs/en/storage-ceph/9.9.1?topic=troubleshooting-understanding-ceph-health")</f>
        <v/>
      </c>
    </row>
    <row r="1752" ht="18" customHeight="1">
      <c r="A1752" s="8" t="inlineStr">
        <is>
          <t>25.1.4</t>
        </is>
      </c>
      <c r="B1752" s="9" t="inlineStr">
        <is>
          <t xml:space="preserve">    Muting health alerts</t>
        </is>
      </c>
      <c r="C1752" s="10">
        <f>HYPERLINK("https://www.ibm.com/docs/en/storage-ceph/9.9.1?topic=troubleshooting-muting-health-alerts","https://www.ibm.com/docs/en/storage-ceph/9.9.1?topic=troubleshooting-muting-health-alerts")</f>
        <v/>
      </c>
    </row>
    <row r="1753" ht="18" customHeight="1">
      <c r="A1753" s="8" t="inlineStr">
        <is>
          <t>25.1.5</t>
        </is>
      </c>
      <c r="B1753" s="9" t="inlineStr">
        <is>
          <t xml:space="preserve">    Understanding Ceph logs</t>
        </is>
      </c>
      <c r="C1753" s="10">
        <f>HYPERLINK("https://www.ibm.com/docs/en/storage-ceph/9.9.1?topic=troubleshooting-understanding-ceph-logs","https://www.ibm.com/docs/en/storage-ceph/9.9.1?topic=troubleshooting-understanding-ceph-logs")</f>
        <v/>
      </c>
    </row>
    <row r="1754" ht="18" customHeight="1">
      <c r="A1754" s="8" t="inlineStr">
        <is>
          <t>25.1.6</t>
        </is>
      </c>
      <c r="B1754" s="9" t="inlineStr">
        <is>
          <t xml:space="preserve">    Generating an sos report</t>
        </is>
      </c>
      <c r="C1754" s="10">
        <f>HYPERLINK("https://www.ibm.com/docs/en/storage-ceph/9.9.1?topic=troubleshooting-generating-sos-report","https://www.ibm.com/docs/en/storage-ceph/9.9.1?topic=troubleshooting-generating-sos-report")</f>
        <v/>
      </c>
    </row>
    <row r="1755" ht="18" customHeight="1">
      <c r="A1755" s="5" t="inlineStr">
        <is>
          <t>25.2</t>
        </is>
      </c>
      <c r="B1755" s="6" t="inlineStr">
        <is>
          <t xml:space="preserve">  Configuring logging</t>
        </is>
      </c>
      <c r="C1755" s="7">
        <f>HYPERLINK("https://www.ibm.com/docs/en/storage-ceph/9.9.1?topic=troubleshooting-configuring-logging","https://www.ibm.com/docs/en/storage-ceph/9.9.1?topic=troubleshooting-configuring-logging")</f>
        <v/>
      </c>
    </row>
    <row r="1756" ht="18" customHeight="1">
      <c r="A1756" s="8" t="inlineStr">
        <is>
          <t>25.2.1</t>
        </is>
      </c>
      <c r="B1756" s="9" t="inlineStr">
        <is>
          <t xml:space="preserve">    Ceph subsystems</t>
        </is>
      </c>
      <c r="C1756" s="10">
        <f>HYPERLINK("https://www.ibm.com/docs/en/storage-ceph/9.9.1?topic=logging-ceph-subsystems","https://www.ibm.com/docs/en/storage-ceph/9.9.1?topic=logging-ceph-subsystems")</f>
        <v/>
      </c>
    </row>
    <row r="1757" ht="18" customHeight="1">
      <c r="A1757" s="8" t="inlineStr">
        <is>
          <t>25.2.2</t>
        </is>
      </c>
      <c r="B1757" s="9" t="inlineStr">
        <is>
          <t xml:space="preserve">    Configuring logging at runtime</t>
        </is>
      </c>
      <c r="C1757" s="10">
        <f>HYPERLINK("https://www.ibm.com/docs/en/storage-ceph/9.9.1?topic=logging-configuring-runtime","https://www.ibm.com/docs/en/storage-ceph/9.9.1?topic=logging-configuring-runtime")</f>
        <v/>
      </c>
    </row>
    <row r="1758" ht="18" customHeight="1">
      <c r="A1758" s="8" t="inlineStr">
        <is>
          <t>25.2.3</t>
        </is>
      </c>
      <c r="B1758" s="9" t="inlineStr">
        <is>
          <t xml:space="preserve">    Configuring logging in configuration file</t>
        </is>
      </c>
      <c r="C1758" s="10">
        <f>HYPERLINK("https://www.ibm.com/docs/en/storage-ceph/9.9.1?topic=logging-configuring-in-configuration-file","https://www.ibm.com/docs/en/storage-ceph/9.9.1?topic=logging-configuring-in-configuration-file")</f>
        <v/>
      </c>
    </row>
    <row r="1759" ht="18" customHeight="1">
      <c r="A1759" s="8" t="inlineStr">
        <is>
          <t>25.2.4</t>
        </is>
      </c>
      <c r="B1759" s="9" t="inlineStr">
        <is>
          <t xml:space="preserve">    Accelerating log rotation</t>
        </is>
      </c>
      <c r="C1759" s="10">
        <f>HYPERLINK("https://www.ibm.com/docs/en/storage-ceph/9.9.1?topic=logging-accelerating-log-rotation","https://www.ibm.com/docs/en/storage-ceph/9.9.1?topic=logging-accelerating-log-rotation")</f>
        <v/>
      </c>
    </row>
    <row r="1760" ht="18" customHeight="1">
      <c r="A1760" s="8" t="inlineStr">
        <is>
          <t>25.2.5</t>
        </is>
      </c>
      <c r="B1760" s="9" t="inlineStr">
        <is>
          <t xml:space="preserve">    Creating and collecting operation logs for Ceph Object Gateway</t>
        </is>
      </c>
      <c r="C1760" s="10">
        <f>HYPERLINK("https://www.ibm.com/docs/en/storage-ceph/9.9.1?topic=logging-creating-collecting-operation-logs-ceph-object-gateway","https://www.ibm.com/docs/en/storage-ceph/9.9.1?topic=logging-creating-collecting-operation-logs-ceph-object-gateway")</f>
        <v/>
      </c>
    </row>
    <row r="1761" ht="18" customHeight="1">
      <c r="A1761" s="5" t="inlineStr">
        <is>
          <t>25.3</t>
        </is>
      </c>
      <c r="B1761" s="6" t="inlineStr">
        <is>
          <t xml:space="preserve">  Troubleshooting networking issues</t>
        </is>
      </c>
      <c r="C1761" s="7">
        <f>HYPERLINK("https://www.ibm.com/docs/en/storage-ceph/9.9.1?topic=troubleshooting-networking-issues","https://www.ibm.com/docs/en/storage-ceph/9.9.1?topic=troubleshooting-networking-issues")</f>
        <v/>
      </c>
    </row>
    <row r="1762" ht="18" customHeight="1">
      <c r="A1762" s="8" t="inlineStr">
        <is>
          <t>25.3.1</t>
        </is>
      </c>
      <c r="B1762" s="9" t="inlineStr">
        <is>
          <t xml:space="preserve">    Basic networking troubleshooting</t>
        </is>
      </c>
      <c r="C1762" s="10">
        <f>HYPERLINK("https://www.ibm.com/docs/en/storage-ceph/9.9.1?topic=issues-basic-networking-troubleshooting","https://www.ibm.com/docs/en/storage-ceph/9.9.1?topic=issues-basic-networking-troubleshooting")</f>
        <v/>
      </c>
    </row>
    <row r="1763" ht="18" customHeight="1">
      <c r="A1763" s="8" t="inlineStr">
        <is>
          <t>25.3.2</t>
        </is>
      </c>
      <c r="B1763" s="9" t="inlineStr">
        <is>
          <t xml:space="preserve">    Basic chrony NTP troubleshooting</t>
        </is>
      </c>
      <c r="C1763" s="10">
        <f>HYPERLINK("https://www.ibm.com/docs/en/storage-ceph/9.9.1?topic=issues-basic-chrony-ntp-troubleshooting","https://www.ibm.com/docs/en/storage-ceph/9.9.1?topic=issues-basic-chrony-ntp-troubleshooting")</f>
        <v/>
      </c>
    </row>
    <row r="1764" ht="18" customHeight="1">
      <c r="A1764" s="5" t="inlineStr">
        <is>
          <t>25.4</t>
        </is>
      </c>
      <c r="B1764" s="6" t="inlineStr">
        <is>
          <t xml:space="preserve">  cephadm troubleshooting</t>
        </is>
      </c>
      <c r="C1764" s="7">
        <f>HYPERLINK("https://www.ibm.com/docs/en/storage-ceph/9.9.1?topic=troubleshooting-cephadm","https://www.ibm.com/docs/en/storage-ceph/9.9.1?topic=troubleshooting-cephadm")</f>
        <v/>
      </c>
    </row>
    <row r="1765" ht="18" customHeight="1">
      <c r="A1765" s="8" t="inlineStr">
        <is>
          <t>25.4.1</t>
        </is>
      </c>
      <c r="B1765" s="9" t="inlineStr">
        <is>
          <t xml:space="preserve">    Powering down and starting the cluster</t>
        </is>
      </c>
      <c r="C1765" s="10">
        <f>HYPERLINK("https://www.ibm.com/docs/en/storage-ceph/9.9.1?topic=troubleshooting-powering-down-starting-cluster","https://www.ibm.com/docs/en/storage-ceph/9.9.1?topic=troubleshooting-powering-down-starting-cluster")</f>
        <v/>
      </c>
    </row>
    <row r="1766" ht="18" customHeight="1">
      <c r="A1766" s="8" t="inlineStr">
        <is>
          <t>25.4.2</t>
        </is>
      </c>
      <c r="B1766" s="9" t="inlineStr">
        <is>
          <t xml:space="preserve">    Pause or disable cephadm</t>
        </is>
      </c>
      <c r="C1766" s="10">
        <f>HYPERLINK("https://www.ibm.com/docs/en/storage-ceph/9.9.1?topic=troubleshooting-pause-disable-cephadm","https://www.ibm.com/docs/en/storage-ceph/9.9.1?topic=troubleshooting-pause-disable-cephadm")</f>
        <v/>
      </c>
    </row>
    <row r="1767" ht="18" customHeight="1">
      <c r="A1767" s="8" t="inlineStr">
        <is>
          <t>25.4.3</t>
        </is>
      </c>
      <c r="B1767" s="9" t="inlineStr">
        <is>
          <t xml:space="preserve">    Per service and per daemon event</t>
        </is>
      </c>
      <c r="C1767" s="10">
        <f>HYPERLINK("https://www.ibm.com/docs/en/storage-ceph/9.9.1?topic=troubleshooting-per-service-per-daemon-event","https://www.ibm.com/docs/en/storage-ceph/9.9.1?topic=troubleshooting-per-service-per-daemon-event")</f>
        <v/>
      </c>
    </row>
    <row r="1768" ht="18" customHeight="1">
      <c r="A1768" s="8" t="inlineStr">
        <is>
          <t>25.4.4</t>
        </is>
      </c>
      <c r="B1768" s="9" t="inlineStr">
        <is>
          <t xml:space="preserve">    Check cephadm logs</t>
        </is>
      </c>
      <c r="C1768" s="10">
        <f>HYPERLINK("https://www.ibm.com/docs/en/storage-ceph/9.9.1?topic=troubleshooting-check-cephadm-logs","https://www.ibm.com/docs/en/storage-ceph/9.9.1?topic=troubleshooting-check-cephadm-logs")</f>
        <v/>
      </c>
    </row>
    <row r="1769" ht="18" customHeight="1">
      <c r="A1769" s="8" t="inlineStr">
        <is>
          <t>25.4.5</t>
        </is>
      </c>
      <c r="B1769" s="9" t="inlineStr">
        <is>
          <t xml:space="preserve">    Gather log files</t>
        </is>
      </c>
      <c r="C1769" s="10">
        <f>HYPERLINK("https://www.ibm.com/docs/en/storage-ceph/9.9.1?topic=troubleshooting-gather-log-files","https://www.ibm.com/docs/en/storage-ceph/9.9.1?topic=troubleshooting-gather-log-files")</f>
        <v/>
      </c>
    </row>
    <row r="1770" ht="18" customHeight="1">
      <c r="A1770" s="8" t="inlineStr">
        <is>
          <t>25.4.6</t>
        </is>
      </c>
      <c r="B1770" s="9" t="inlineStr">
        <is>
          <t xml:space="preserve">    Collect systemd status</t>
        </is>
      </c>
      <c r="C1770" s="10">
        <f>HYPERLINK("https://www.ibm.com/docs/en/storage-ceph/9.9.1?topic=troubleshooting-collect-systemd-status","https://www.ibm.com/docs/en/storage-ceph/9.9.1?topic=troubleshooting-collect-systemd-status")</f>
        <v/>
      </c>
    </row>
    <row r="1771" ht="18" customHeight="1">
      <c r="A1771" s="8" t="inlineStr">
        <is>
          <t>25.4.7</t>
        </is>
      </c>
      <c r="B1771" s="9" t="inlineStr">
        <is>
          <t xml:space="preserve">    List all downloaded container images</t>
        </is>
      </c>
      <c r="C1771" s="10">
        <f>HYPERLINK("https://www.ibm.com/docs/en/storage-ceph/9.9.1?topic=troubleshooting-list-all-downloaded-container-images","https://www.ibm.com/docs/en/storage-ceph/9.9.1?topic=troubleshooting-list-all-downloaded-container-images")</f>
        <v/>
      </c>
    </row>
    <row r="1772" ht="18" customHeight="1">
      <c r="A1772" s="8" t="inlineStr">
        <is>
          <t>25.4.8</t>
        </is>
      </c>
      <c r="B1772" s="9" t="inlineStr">
        <is>
          <t xml:space="preserve">    Manually run containers</t>
        </is>
      </c>
      <c r="C1772" s="10">
        <f>HYPERLINK("https://www.ibm.com/docs/en/storage-ceph/9.9.1?topic=troubleshooting-manually-run-containers","https://www.ibm.com/docs/en/storage-ceph/9.9.1?topic=troubleshooting-manually-run-containers")</f>
        <v/>
      </c>
    </row>
    <row r="1773" ht="18" customHeight="1">
      <c r="A1773" s="8" t="inlineStr">
        <is>
          <t>25.4.9</t>
        </is>
      </c>
      <c r="B1773" s="9" t="inlineStr">
        <is>
          <t xml:space="preserve">    CIDR network error</t>
        </is>
      </c>
      <c r="C1773" s="10">
        <f>HYPERLINK("https://www.ibm.com/docs/en/storage-ceph/9.9.1?topic=troubleshooting-cidr-network-error","https://www.ibm.com/docs/en/storage-ceph/9.9.1?topic=troubleshooting-cidr-network-error")</f>
        <v/>
      </c>
    </row>
    <row r="1774" ht="18" customHeight="1">
      <c r="A1774" s="8" t="inlineStr">
        <is>
          <t>25.4.10</t>
        </is>
      </c>
      <c r="B1774" s="9" t="inlineStr">
        <is>
          <t xml:space="preserve">    Access admin socket</t>
        </is>
      </c>
      <c r="C1774" s="10">
        <f>HYPERLINK("https://www.ibm.com/docs/en/storage-ceph/9.9.1?topic=troubleshooting-access-admin-socket","https://www.ibm.com/docs/en/storage-ceph/9.9.1?topic=troubleshooting-access-admin-socket")</f>
        <v/>
      </c>
    </row>
    <row r="1775" ht="18" customHeight="1">
      <c r="A1775" s="8" t="inlineStr">
        <is>
          <t>25.4.11</t>
        </is>
      </c>
      <c r="B1775" s="9" t="inlineStr">
        <is>
          <t xml:space="preserve">    Manually deploying a mgr daemon</t>
        </is>
      </c>
      <c r="C1775" s="10">
        <f>HYPERLINK("https://www.ibm.com/docs/en/storage-ceph/9.9.1?topic=troubleshooting-manually-deploying-mgr-daemon","https://www.ibm.com/docs/en/storage-ceph/9.9.1?topic=troubleshooting-manually-deploying-mgr-daemon")</f>
        <v/>
      </c>
    </row>
    <row r="1776" ht="18" customHeight="1">
      <c r="A1776" s="5" t="inlineStr">
        <is>
          <t>25.5</t>
        </is>
      </c>
      <c r="B1776" s="6" t="inlineStr">
        <is>
          <t xml:space="preserve">  Troubleshooting Ceph Monitors</t>
        </is>
      </c>
      <c r="C1776" s="7">
        <f>HYPERLINK("https://www.ibm.com/docs/en/storage-ceph/9.9.1?topic=troubleshooting-ceph-monitors","https://www.ibm.com/docs/en/storage-ceph/9.9.1?topic=troubleshooting-ceph-monitors")</f>
        <v/>
      </c>
    </row>
    <row r="1777" ht="18" customHeight="1">
      <c r="A1777" s="8" t="inlineStr">
        <is>
          <t>25.5.1</t>
        </is>
      </c>
      <c r="B1777" s="9" t="inlineStr">
        <is>
          <t xml:space="preserve">    Most common Ceph Monitor errors</t>
        </is>
      </c>
      <c r="C1777" s="10">
        <f>HYPERLINK("https://www.ibm.com/docs/en/storage-ceph/9.9.1?topic=monitors-most-common-ceph-monitor-errors","https://www.ibm.com/docs/en/storage-ceph/9.9.1?topic=monitors-most-common-ceph-monitor-errors")</f>
        <v/>
      </c>
    </row>
    <row r="1778" ht="18" customHeight="1">
      <c r="A1778" s="8" t="inlineStr">
        <is>
          <t>25.5.1.1</t>
        </is>
      </c>
      <c r="B1778" s="9" t="inlineStr">
        <is>
          <t xml:space="preserve">      Ceph Monitor error messages</t>
        </is>
      </c>
      <c r="C1778" s="10">
        <f>HYPERLINK("https://www.ibm.com/docs/en/storage-ceph/9.9.1?topic=errors-ceph-monitor-error-messages","https://www.ibm.com/docs/en/storage-ceph/9.9.1?topic=errors-ceph-monitor-error-messages")</f>
        <v/>
      </c>
    </row>
    <row r="1779" ht="18" customHeight="1">
      <c r="A1779" s="8" t="inlineStr">
        <is>
          <t>25.5.1.2</t>
        </is>
      </c>
      <c r="B1779" s="9" t="inlineStr">
        <is>
          <t xml:space="preserve">      Common Ceph Monitor error messages in Ceph logs</t>
        </is>
      </c>
      <c r="C1779" s="10">
        <f>HYPERLINK("https://www.ibm.com/docs/en/storage-ceph/9.9.1?topic=mccme-common-ceph-monitor-error-messages-in-ceph-logs","https://www.ibm.com/docs/en/storage-ceph/9.9.1?topic=mccme-common-ceph-monitor-error-messages-in-ceph-logs")</f>
        <v/>
      </c>
    </row>
    <row r="1780" ht="18" customHeight="1">
      <c r="A1780" s="8" t="inlineStr">
        <is>
          <t>25.5.1.3</t>
        </is>
      </c>
      <c r="B1780" s="9" t="inlineStr">
        <is>
          <t xml:space="preserve">      Ceph Monitor is out of quorum</t>
        </is>
      </c>
      <c r="C1780" s="10">
        <f>HYPERLINK("https://www.ibm.com/docs/en/storage-ceph/9.9.1?topic=errors-ceph-monitor-is-out-quorum","https://www.ibm.com/docs/en/storage-ceph/9.9.1?topic=errors-ceph-monitor-is-out-quorum")</f>
        <v/>
      </c>
    </row>
    <row r="1781" ht="18" customHeight="1">
      <c r="A1781" s="8" t="inlineStr">
        <is>
          <t>25.5.1.4</t>
        </is>
      </c>
      <c r="B1781" s="9" t="inlineStr">
        <is>
          <t xml:space="preserve">      Clock skew</t>
        </is>
      </c>
      <c r="C1781" s="10">
        <f>HYPERLINK("https://www.ibm.com/docs/en/storage-ceph/9.9.1?topic=errors-clock-skew","https://www.ibm.com/docs/en/storage-ceph/9.9.1?topic=errors-clock-skew")</f>
        <v/>
      </c>
    </row>
    <row r="1782" ht="18" customHeight="1">
      <c r="A1782" s="8" t="inlineStr">
        <is>
          <t>25.5.1.5</t>
        </is>
      </c>
      <c r="B1782" s="9" t="inlineStr">
        <is>
          <t xml:space="preserve">      Ceph Monitor store is getting too big</t>
        </is>
      </c>
      <c r="C1782" s="10">
        <f>HYPERLINK("https://www.ibm.com/docs/en/storage-ceph/9.9.1?topic=errors-ceph-monitor-store-is-getting-too-big","https://www.ibm.com/docs/en/storage-ceph/9.9.1?topic=errors-ceph-monitor-store-is-getting-too-big")</f>
        <v/>
      </c>
    </row>
    <row r="1783" ht="18" customHeight="1">
      <c r="A1783" s="8" t="inlineStr">
        <is>
          <t>25.5.1.6</t>
        </is>
      </c>
      <c r="B1783" s="9" t="inlineStr">
        <is>
          <t xml:space="preserve">      Understanding Ceph Monitor status</t>
        </is>
      </c>
      <c r="C1783" s="10">
        <f>HYPERLINK("https://www.ibm.com/docs/en/storage-ceph/9.9.1?topic=errors-understanding-ceph-monitor-status","https://www.ibm.com/docs/en/storage-ceph/9.9.1?topic=errors-understanding-ceph-monitor-status")</f>
        <v/>
      </c>
    </row>
    <row r="1784" ht="18" customHeight="1">
      <c r="A1784" s="8" t="inlineStr">
        <is>
          <t>25.5.2</t>
        </is>
      </c>
      <c r="B1784" s="9" t="inlineStr">
        <is>
          <t xml:space="preserve">    Injecting a monmap</t>
        </is>
      </c>
      <c r="C1784" s="10">
        <f>HYPERLINK("https://www.ibm.com/docs/en/storage-ceph/9.9.1?topic=monitors-injecting-monmap","https://www.ibm.com/docs/en/storage-ceph/9.9.1?topic=monitors-injecting-monmap")</f>
        <v/>
      </c>
    </row>
    <row r="1785" ht="18" customHeight="1">
      <c r="A1785" s="8" t="inlineStr">
        <is>
          <t>25.5.3</t>
        </is>
      </c>
      <c r="B1785" s="9" t="inlineStr">
        <is>
          <t xml:space="preserve">    Replacing a failed Monitor</t>
        </is>
      </c>
      <c r="C1785" s="10">
        <f>HYPERLINK("https://www.ibm.com/docs/en/storage-ceph/9.9.1?topic=monitors-replacing-failed-monitor","https://www.ibm.com/docs/en/storage-ceph/9.9.1?topic=monitors-replacing-failed-monitor")</f>
        <v/>
      </c>
    </row>
    <row r="1786" ht="18" customHeight="1">
      <c r="A1786" s="8" t="inlineStr">
        <is>
          <t>25.5.4</t>
        </is>
      </c>
      <c r="B1786" s="9" t="inlineStr">
        <is>
          <t xml:space="preserve">    Compacting Monitor store</t>
        </is>
      </c>
      <c r="C1786" s="10">
        <f>HYPERLINK("https://www.ibm.com/docs/en/storage-ceph/9.9.1?topic=monitors-compacting-monitor-store","https://www.ibm.com/docs/en/storage-ceph/9.9.1?topic=monitors-compacting-monitor-store")</f>
        <v/>
      </c>
    </row>
    <row r="1787" ht="18" customHeight="1">
      <c r="A1787" s="8" t="inlineStr">
        <is>
          <t>25.5.5</t>
        </is>
      </c>
      <c r="B1787" s="9" t="inlineStr">
        <is>
          <t xml:space="preserve">    Opening port for Ceph Manager</t>
        </is>
      </c>
      <c r="C1787" s="10">
        <f>HYPERLINK("https://www.ibm.com/docs/en/storage-ceph/9.9.1?topic=monitors-opening-port-ceph-manager","https://www.ibm.com/docs/en/storage-ceph/9.9.1?topic=monitors-opening-port-ceph-manager")</f>
        <v/>
      </c>
    </row>
    <row r="1788" ht="18" customHeight="1">
      <c r="A1788" s="8" t="inlineStr">
        <is>
          <t>25.5.6</t>
        </is>
      </c>
      <c r="B1788" s="9" t="inlineStr">
        <is>
          <t xml:space="preserve">    Recovering Ceph Monitor store</t>
        </is>
      </c>
      <c r="C1788" s="10">
        <f>HYPERLINK("https://www.ibm.com/docs/en/storage-ceph/9.9.1?topic=monitors-recovering-ceph-monitor-store","https://www.ibm.com/docs/en/storage-ceph/9.9.1?topic=monitors-recovering-ceph-monitor-store")</f>
        <v/>
      </c>
    </row>
    <row r="1789" ht="18" customHeight="1">
      <c r="A1789" s="8" t="inlineStr">
        <is>
          <t>25.5.6.1</t>
        </is>
      </c>
      <c r="B1789" s="9" t="inlineStr">
        <is>
          <t xml:space="preserve">      Recovering Ceph Monitor store when using BlueStore</t>
        </is>
      </c>
      <c r="C1789" s="10">
        <f>HYPERLINK("https://www.ibm.com/docs/en/storage-ceph/9.9.1?topic=store-recovering-ceph-monitor-when-using-bluestore","https://www.ibm.com/docs/en/storage-ceph/9.9.1?topic=store-recovering-ceph-monitor-when-using-bluestore")</f>
        <v/>
      </c>
    </row>
    <row r="1790" ht="18" customHeight="1">
      <c r="A1790" s="5" t="inlineStr">
        <is>
          <t>25.6</t>
        </is>
      </c>
      <c r="B1790" s="6" t="inlineStr">
        <is>
          <t xml:space="preserve">  Troubleshooting Ceph OSDs</t>
        </is>
      </c>
      <c r="C1790" s="7">
        <f>HYPERLINK("https://www.ibm.com/docs/en/storage-ceph/9.9.1?topic=troubleshooting-ceph-osds","https://www.ibm.com/docs/en/storage-ceph/9.9.1?topic=troubleshooting-ceph-osds")</f>
        <v/>
      </c>
    </row>
    <row r="1791" ht="18" customHeight="1">
      <c r="A1791" s="8" t="inlineStr">
        <is>
          <t>25.6.1</t>
        </is>
      </c>
      <c r="B1791" s="9" t="inlineStr">
        <is>
          <t xml:space="preserve">    Most common Ceph OSD errors</t>
        </is>
      </c>
      <c r="C1791" s="10">
        <f>HYPERLINK("https://www.ibm.com/docs/en/storage-ceph/9.9.1?topic=osds-most-common-ceph-osd-errors","https://www.ibm.com/docs/en/storage-ceph/9.9.1?topic=osds-most-common-ceph-osd-errors")</f>
        <v/>
      </c>
    </row>
    <row r="1792" ht="18" customHeight="1">
      <c r="A1792" s="8" t="inlineStr">
        <is>
          <t>25.6.1.1</t>
        </is>
      </c>
      <c r="B1792" s="9" t="inlineStr">
        <is>
          <t xml:space="preserve">      Ceph OSD error messages</t>
        </is>
      </c>
      <c r="C1792" s="10">
        <f>HYPERLINK("https://www.ibm.com/docs/en/storage-ceph/9.9.1?topic=errors-ceph-osd-error-messages","https://www.ibm.com/docs/en/storage-ceph/9.9.1?topic=errors-ceph-osd-error-messages")</f>
        <v/>
      </c>
    </row>
    <row r="1793" ht="18" customHeight="1">
      <c r="A1793" s="8" t="inlineStr">
        <is>
          <t>25.6.1.2</t>
        </is>
      </c>
      <c r="B1793" s="9" t="inlineStr">
        <is>
          <t xml:space="preserve">      Common Ceph OSD error messages in Ceph logs</t>
        </is>
      </c>
      <c r="C1793" s="10">
        <f>HYPERLINK("https://www.ibm.com/docs/en/storage-ceph/9.9.1?topic=mccoe-common-ceph-osd-error-messages-in-ceph-logs","https://www.ibm.com/docs/en/storage-ceph/9.9.1?topic=mccoe-common-ceph-osd-error-messages-in-ceph-logs")</f>
        <v/>
      </c>
    </row>
    <row r="1794" ht="18" customHeight="1">
      <c r="A1794" s="8" t="inlineStr">
        <is>
          <t>25.6.1.3</t>
        </is>
      </c>
      <c r="B1794" s="9" t="inlineStr">
        <is>
          <t xml:space="preserve">      Full OSDs</t>
        </is>
      </c>
      <c r="C1794" s="10">
        <f>HYPERLINK("https://www.ibm.com/docs/en/storage-ceph/9.9.1?topic=errors-full-osds","https://www.ibm.com/docs/en/storage-ceph/9.9.1?topic=errors-full-osds")</f>
        <v/>
      </c>
    </row>
    <row r="1795" ht="18" customHeight="1">
      <c r="A1795" s="8" t="inlineStr">
        <is>
          <t>25.6.1.4</t>
        </is>
      </c>
      <c r="B1795" s="9" t="inlineStr">
        <is>
          <t xml:space="preserve">      Backfillfull OSDs</t>
        </is>
      </c>
      <c r="C1795" s="10">
        <f>HYPERLINK("https://www.ibm.com/docs/en/storage-ceph/9.9.1?topic=errors-backfillfull-osds","https://www.ibm.com/docs/en/storage-ceph/9.9.1?topic=errors-backfillfull-osds")</f>
        <v/>
      </c>
    </row>
    <row r="1796" ht="18" customHeight="1">
      <c r="A1796" s="8" t="inlineStr">
        <is>
          <t>25.6.1.5</t>
        </is>
      </c>
      <c r="B1796" s="9" t="inlineStr">
        <is>
          <t xml:space="preserve">      Nearfull OSDs</t>
        </is>
      </c>
      <c r="C1796" s="10">
        <f>HYPERLINK("https://www.ibm.com/docs/en/storage-ceph/9.9.1?topic=errors-nearfull-osds","https://www.ibm.com/docs/en/storage-ceph/9.9.1?topic=errors-nearfull-osds")</f>
        <v/>
      </c>
    </row>
    <row r="1797" ht="18" customHeight="1">
      <c r="A1797" s="8" t="inlineStr">
        <is>
          <t>25.6.1.6</t>
        </is>
      </c>
      <c r="B1797" s="9" t="inlineStr">
        <is>
          <t xml:space="preserve">      Down OSDs</t>
        </is>
      </c>
      <c r="C1797" s="10">
        <f>HYPERLINK("https://www.ibm.com/docs/en/storage-ceph/9.9.1?topic=errors-down-osds","https://www.ibm.com/docs/en/storage-ceph/9.9.1?topic=errors-down-osds")</f>
        <v/>
      </c>
    </row>
    <row r="1798" ht="18" customHeight="1">
      <c r="A1798" s="8" t="inlineStr">
        <is>
          <t>25.6.1.7</t>
        </is>
      </c>
      <c r="B1798" s="9" t="inlineStr">
        <is>
          <t xml:space="preserve">      Flapping OSDs</t>
        </is>
      </c>
      <c r="C1798" s="10">
        <f>HYPERLINK("https://www.ibm.com/docs/en/storage-ceph/9.9.1?topic=errors-flapping-osds","https://www.ibm.com/docs/en/storage-ceph/9.9.1?topic=errors-flapping-osds")</f>
        <v/>
      </c>
    </row>
    <row r="1799" ht="18" customHeight="1">
      <c r="A1799" s="8" t="inlineStr">
        <is>
          <t>25.6.1.8</t>
        </is>
      </c>
      <c r="B1799" s="9" t="inlineStr">
        <is>
          <t xml:space="preserve">      Slow requests or requests are blocked</t>
        </is>
      </c>
      <c r="C1799" s="10">
        <f>HYPERLINK("https://www.ibm.com/docs/en/storage-ceph/9.9.1?topic=errors-slow-requests-requests-are-blocked","https://www.ibm.com/docs/en/storage-ceph/9.9.1?topic=errors-slow-requests-requests-are-blocked")</f>
        <v/>
      </c>
    </row>
    <row r="1800" ht="18" customHeight="1">
      <c r="A1800" s="8" t="inlineStr">
        <is>
          <t>25.6.2</t>
        </is>
      </c>
      <c r="B1800" s="9" t="inlineStr">
        <is>
          <t xml:space="preserve">    Stopping and starting rebalancing</t>
        </is>
      </c>
      <c r="C1800" s="10">
        <f>HYPERLINK("https://www.ibm.com/docs/en/storage-ceph/9.9.1?topic=osds-stopping-starting-rebalancing","https://www.ibm.com/docs/en/storage-ceph/9.9.1?topic=osds-stopping-starting-rebalancing")</f>
        <v/>
      </c>
    </row>
    <row r="1801" ht="18" customHeight="1">
      <c r="A1801" s="8" t="inlineStr">
        <is>
          <t>25.6.3</t>
        </is>
      </c>
      <c r="B1801" s="9" t="inlineStr">
        <is>
          <t xml:space="preserve">    Mounting the OSD data partition</t>
        </is>
      </c>
      <c r="C1801" s="10">
        <f>HYPERLINK("https://www.ibm.com/docs/en/storage-ceph/9.9.1?topic=osds-mounting-osd-data-partition","https://www.ibm.com/docs/en/storage-ceph/9.9.1?topic=osds-mounting-osd-data-partition")</f>
        <v/>
      </c>
    </row>
    <row r="1802" ht="18" customHeight="1">
      <c r="A1802" s="8" t="inlineStr">
        <is>
          <t>25.6.4</t>
        </is>
      </c>
      <c r="B1802" s="9" t="inlineStr">
        <is>
          <t xml:space="preserve">    Replacing an OSD drive</t>
        </is>
      </c>
      <c r="C1802" s="10">
        <f>HYPERLINK("https://www.ibm.com/docs/en/storage-ceph/9.9.1?topic=osds-replacing-osd-drive","https://www.ibm.com/docs/en/storage-ceph/9.9.1?topic=osds-replacing-osd-drive")</f>
        <v/>
      </c>
    </row>
    <row r="1803" ht="18" customHeight="1">
      <c r="A1803" s="8" t="inlineStr">
        <is>
          <t>25.6.5</t>
        </is>
      </c>
      <c r="B1803" s="9" t="inlineStr">
        <is>
          <t xml:space="preserve">    Increasing PID count</t>
        </is>
      </c>
      <c r="C1803" s="10">
        <f>HYPERLINK("https://www.ibm.com/docs/en/storage-ceph/9.9.1?topic=osds-increasing-pid-count","https://www.ibm.com/docs/en/storage-ceph/9.9.1?topic=osds-increasing-pid-count")</f>
        <v/>
      </c>
    </row>
    <row r="1804" ht="18" customHeight="1">
      <c r="A1804" s="8" t="inlineStr">
        <is>
          <t>25.6.6</t>
        </is>
      </c>
      <c r="B1804" s="9" t="inlineStr">
        <is>
          <t xml:space="preserve">    Deleting data from a full storage cluster</t>
        </is>
      </c>
      <c r="C1804" s="10">
        <f>HYPERLINK("https://www.ibm.com/docs/en/storage-ceph/9.9.1?topic=osds-deleting-data-from-full-storage-cluster","https://www.ibm.com/docs/en/storage-ceph/9.9.1?topic=osds-deleting-data-from-full-storage-cluster")</f>
        <v/>
      </c>
    </row>
    <row r="1805" ht="18" customHeight="1">
      <c r="A1805" s="5" t="inlineStr">
        <is>
          <t>25.7</t>
        </is>
      </c>
      <c r="B1805" s="6" t="inlineStr">
        <is>
          <t xml:space="preserve">  Troubleshooting multi-site Ceph Object Gateway</t>
        </is>
      </c>
      <c r="C1805" s="7">
        <f>HYPERLINK("https://www.ibm.com/docs/en/storage-ceph/9.9.1?topic=troubleshooting-multi-site-ceph-object-gateway","https://www.ibm.com/docs/en/storage-ceph/9.9.1?topic=troubleshooting-multi-site-ceph-object-gateway")</f>
        <v/>
      </c>
    </row>
    <row r="1806" ht="18" customHeight="1">
      <c r="A1806" s="8" t="inlineStr">
        <is>
          <t>25.7.1</t>
        </is>
      </c>
      <c r="B1806" s="9" t="inlineStr">
        <is>
          <t xml:space="preserve">    Error code definitions for Ceph Object Gateway</t>
        </is>
      </c>
      <c r="C1806" s="10">
        <f>HYPERLINK("https://www.ibm.com/docs/en/storage-ceph/9.9.1?topic=gateway-error-code-definitions-ceph-object","https://www.ibm.com/docs/en/storage-ceph/9.9.1?topic=gateway-error-code-definitions-ceph-object")</f>
        <v/>
      </c>
    </row>
    <row r="1807" ht="18" customHeight="1">
      <c r="A1807" s="8" t="inlineStr">
        <is>
          <t>25.7.2</t>
        </is>
      </c>
      <c r="B1807" s="9" t="inlineStr">
        <is>
          <t xml:space="preserve">    Syncing a multi-site Ceph Object Gateway</t>
        </is>
      </c>
      <c r="C1807" s="10">
        <f>HYPERLINK("https://www.ibm.com/docs/en/storage-ceph/9.9.1?topic=gateway-syncing-multi-site-ceph-object","https://www.ibm.com/docs/en/storage-ceph/9.9.1?topic=gateway-syncing-multi-site-ceph-object")</f>
        <v/>
      </c>
    </row>
    <row r="1808" ht="18" customHeight="1">
      <c r="A1808" s="8" t="inlineStr">
        <is>
          <t>25.7.2.1</t>
        </is>
      </c>
      <c r="B1808" s="9" t="inlineStr">
        <is>
          <t xml:space="preserve">      Performance counters for multi-site Ceph Object Gateway data sync</t>
        </is>
      </c>
      <c r="C1808" s="10">
        <f>HYPERLINK("https://www.ibm.com/docs/en/storage-ceph/9.9.1?topic=smscog-performance-counters-multi-site-ceph-object-gateway-data-sync","https://www.ibm.com/docs/en/storage-ceph/9.9.1?topic=smscog-performance-counters-multi-site-ceph-object-gateway-data-sync")</f>
        <v/>
      </c>
    </row>
    <row r="1809" ht="18" customHeight="1">
      <c r="A1809" s="8" t="inlineStr">
        <is>
          <t>25.7.3</t>
        </is>
      </c>
      <c r="B1809" s="9" t="inlineStr">
        <is>
          <t xml:space="preserve">    Synchronizing data in a multi-site Ceph Object Gateway configuration</t>
        </is>
      </c>
      <c r="C1809" s="10">
        <f>HYPERLINK("https://www.ibm.com/docs/en/storage-ceph/9.9.1?topic=tmscog-synchronizing-data-in-multi-site-ceph-object-gateway-configuration","https://www.ibm.com/docs/en/storage-ceph/9.9.1?topic=tmscog-synchronizing-data-in-multi-site-ceph-object-gateway-configuration")</f>
        <v/>
      </c>
    </row>
    <row r="1810" ht="18" customHeight="1">
      <c r="A1810" s="8" t="inlineStr">
        <is>
          <t>25.7.4</t>
        </is>
      </c>
      <c r="B1810" s="9" t="inlineStr">
        <is>
          <t xml:space="preserve">    Troubleshooting radosgw-admin commands after upgrading a cluster</t>
        </is>
      </c>
      <c r="C1810" s="10">
        <f>HYPERLINK("https://www.ibm.com/docs/en/storage-ceph/9.9.1?topic=gateway-troubleshooting-radosgw-admin-commands-after-upgrading-cluster","https://www.ibm.com/docs/en/storage-ceph/9.9.1?topic=gateway-troubleshooting-radosgw-admin-commands-after-upgrading-cluster")</f>
        <v/>
      </c>
    </row>
    <row r="1811" ht="18" customHeight="1">
      <c r="A1811" s="5" t="inlineStr">
        <is>
          <t>25.8</t>
        </is>
      </c>
      <c r="B1811" s="6" t="inlineStr">
        <is>
          <t xml:space="preserve">  Troubleshooting Ceph placement groups</t>
        </is>
      </c>
      <c r="C1811" s="7">
        <f>HYPERLINK("https://www.ibm.com/docs/en/storage-ceph/9.9.1?topic=troubleshooting-ceph-placement-groups","https://www.ibm.com/docs/en/storage-ceph/9.9.1?topic=troubleshooting-ceph-placement-groups")</f>
        <v/>
      </c>
    </row>
    <row r="1812" ht="18" customHeight="1">
      <c r="A1812" s="8" t="inlineStr">
        <is>
          <t>25.8.1</t>
        </is>
      </c>
      <c r="B1812" s="9" t="inlineStr">
        <is>
          <t xml:space="preserve">    Most common Ceph placement groups errors</t>
        </is>
      </c>
      <c r="C1812" s="10">
        <f>HYPERLINK("https://www.ibm.com/docs/en/storage-ceph/9.9.1?topic=groups-most-common-ceph-placement-errors","https://www.ibm.com/docs/en/storage-ceph/9.9.1?topic=groups-most-common-ceph-placement-errors")</f>
        <v/>
      </c>
    </row>
    <row r="1813" ht="18" customHeight="1">
      <c r="A1813" s="8" t="inlineStr">
        <is>
          <t>25.8.1.1</t>
        </is>
      </c>
      <c r="B1813" s="9" t="inlineStr">
        <is>
          <t xml:space="preserve">      Placement group error messages</t>
        </is>
      </c>
      <c r="C1813" s="10">
        <f>HYPERLINK("https://www.ibm.com/docs/en/storage-ceph/9.9.1?topic=errors-placement-group-error-messages","https://www.ibm.com/docs/en/storage-ceph/9.9.1?topic=errors-placement-group-error-messages")</f>
        <v/>
      </c>
    </row>
    <row r="1814" ht="18" customHeight="1">
      <c r="A1814" s="8" t="inlineStr">
        <is>
          <t>25.8.1.2</t>
        </is>
      </c>
      <c r="B1814" s="9" t="inlineStr">
        <is>
          <t xml:space="preserve">      Stale placement groups</t>
        </is>
      </c>
      <c r="C1814" s="10">
        <f>HYPERLINK("https://www.ibm.com/docs/en/storage-ceph/9.9.1?topic=errors-stale-placement-groups","https://www.ibm.com/docs/en/storage-ceph/9.9.1?topic=errors-stale-placement-groups")</f>
        <v/>
      </c>
    </row>
    <row r="1815" ht="18" customHeight="1">
      <c r="A1815" s="8" t="inlineStr">
        <is>
          <t>25.8.1.3</t>
        </is>
      </c>
      <c r="B1815" s="9" t="inlineStr">
        <is>
          <t xml:space="preserve">      Inconsistent placement groups</t>
        </is>
      </c>
      <c r="C1815" s="10">
        <f>HYPERLINK("https://www.ibm.com/docs/en/storage-ceph/9.9.1?topic=errors-inconsistent-placement-groups","https://www.ibm.com/docs/en/storage-ceph/9.9.1?topic=errors-inconsistent-placement-groups")</f>
        <v/>
      </c>
    </row>
    <row r="1816" ht="18" customHeight="1">
      <c r="A1816" s="8" t="inlineStr">
        <is>
          <t>25.8.1.4</t>
        </is>
      </c>
      <c r="B1816" s="9" t="inlineStr">
        <is>
          <t xml:space="preserve">      Unclean placement groups</t>
        </is>
      </c>
      <c r="C1816" s="10">
        <f>HYPERLINK("https://www.ibm.com/docs/en/storage-ceph/9.9.1?topic=errors-unclean-placement-groups","https://www.ibm.com/docs/en/storage-ceph/9.9.1?topic=errors-unclean-placement-groups")</f>
        <v/>
      </c>
    </row>
    <row r="1817" ht="18" customHeight="1">
      <c r="A1817" s="8" t="inlineStr">
        <is>
          <t>25.8.1.5</t>
        </is>
      </c>
      <c r="B1817" s="9" t="inlineStr">
        <is>
          <t xml:space="preserve">      Inactive placement groups</t>
        </is>
      </c>
      <c r="C1817" s="10">
        <f>HYPERLINK("https://www.ibm.com/docs/en/storage-ceph/9.9.1?topic=errors-inactive-placement-groups","https://www.ibm.com/docs/en/storage-ceph/9.9.1?topic=errors-inactive-placement-groups")</f>
        <v/>
      </c>
    </row>
    <row r="1818" ht="18" customHeight="1">
      <c r="A1818" s="8" t="inlineStr">
        <is>
          <t>25.8.1.6</t>
        </is>
      </c>
      <c r="B1818" s="9" t="inlineStr">
        <is>
          <t xml:space="preserve">      Placement groups are down</t>
        </is>
      </c>
      <c r="C1818" s="10">
        <f>HYPERLINK("https://www.ibm.com/docs/en/storage-ceph/9.9.1?topic=errors-placement-groups-are-down","https://www.ibm.com/docs/en/storage-ceph/9.9.1?topic=errors-placement-groups-are-down")</f>
        <v/>
      </c>
    </row>
    <row r="1819" ht="18" customHeight="1">
      <c r="A1819" s="8" t="inlineStr">
        <is>
          <t>25.8.1.7</t>
        </is>
      </c>
      <c r="B1819" s="9" t="inlineStr">
        <is>
          <t xml:space="preserve">      Unfound objects</t>
        </is>
      </c>
      <c r="C1819" s="10">
        <f>HYPERLINK("https://www.ibm.com/docs/en/storage-ceph/9.9.1?topic=errors-unfound-objects","https://www.ibm.com/docs/en/storage-ceph/9.9.1?topic=errors-unfound-objects")</f>
        <v/>
      </c>
    </row>
    <row r="1820" ht="18" customHeight="1">
      <c r="A1820" s="8" t="inlineStr">
        <is>
          <t>25.8.2</t>
        </is>
      </c>
      <c r="B1820" s="9" t="inlineStr">
        <is>
          <t xml:space="preserve">    Listing placement groups stuck in stale, inactive, or unclean states</t>
        </is>
      </c>
      <c r="C1820" s="10">
        <f>HYPERLINK("https://www.ibm.com/docs/en/storage-ceph/9.9.1?topic=tcpg-listing-placement-groups-stuck-in-stale-inactive-unclean-states","https://www.ibm.com/docs/en/storage-ceph/9.9.1?topic=tcpg-listing-placement-groups-stuck-in-stale-inactive-unclean-states")</f>
        <v/>
      </c>
    </row>
    <row r="1821" ht="18" customHeight="1">
      <c r="A1821" s="8" t="inlineStr">
        <is>
          <t>25.8.3</t>
        </is>
      </c>
      <c r="B1821" s="9" t="inlineStr">
        <is>
          <t xml:space="preserve">    Listing placement group inconsistencies</t>
        </is>
      </c>
      <c r="C1821" s="10">
        <f>HYPERLINK("https://www.ibm.com/docs/en/storage-ceph/9.9.1?topic=groups-listing-placement-group-inconsistencies","https://www.ibm.com/docs/en/storage-ceph/9.9.1?topic=groups-listing-placement-group-inconsistencies")</f>
        <v/>
      </c>
    </row>
    <row r="1822" ht="18" customHeight="1">
      <c r="A1822" s="8" t="inlineStr">
        <is>
          <t>25.8.4</t>
        </is>
      </c>
      <c r="B1822" s="9" t="inlineStr">
        <is>
          <t xml:space="preserve">    Repairing inconsistent placement groups</t>
        </is>
      </c>
      <c r="C1822" s="10">
        <f>HYPERLINK("https://www.ibm.com/docs/en/storage-ceph/9.9.1?topic=groups-repairing-inconsistent-placement","https://www.ibm.com/docs/en/storage-ceph/9.9.1?topic=groups-repairing-inconsistent-placement")</f>
        <v/>
      </c>
    </row>
    <row r="1823" ht="18" customHeight="1">
      <c r="A1823" s="8" t="inlineStr">
        <is>
          <t>25.8.5</t>
        </is>
      </c>
      <c r="B1823" s="9" t="inlineStr">
        <is>
          <t xml:space="preserve">    Increasing the placement group</t>
        </is>
      </c>
      <c r="C1823" s="10">
        <f>HYPERLINK("https://www.ibm.com/docs/en/storage-ceph/9.9.1?topic=groups-increasing-placement-group","https://www.ibm.com/docs/en/storage-ceph/9.9.1?topic=groups-increasing-placement-group")</f>
        <v/>
      </c>
    </row>
    <row r="1824" ht="18" customHeight="1">
      <c r="A1824" s="8" t="inlineStr">
        <is>
          <t>25.8.6</t>
        </is>
      </c>
      <c r="B1824" s="9" t="inlineStr">
        <is>
          <t xml:space="preserve">    Interpreting placement group dump output</t>
        </is>
      </c>
      <c r="C1824" s="10">
        <f>HYPERLINK("https://www.ibm.com/docs/en/storage-ceph/9.9.1?topic=groups-interpreting-placement-group-dump-output","https://www.ibm.com/docs/en/storage-ceph/9.9.1?topic=groups-interpreting-placement-group-dump-output")</f>
        <v/>
      </c>
    </row>
    <row r="1825" ht="18" customHeight="1">
      <c r="A1825" s="5" t="inlineStr">
        <is>
          <t>25.9</t>
        </is>
      </c>
      <c r="B1825" s="6" t="inlineStr">
        <is>
          <t xml:space="preserve">  Troubleshooting Ceph objects</t>
        </is>
      </c>
      <c r="C1825" s="7">
        <f>HYPERLINK("https://www.ibm.com/docs/en/storage-ceph/9.9.1?topic=troubleshooting-ceph-objects","https://www.ibm.com/docs/en/storage-ceph/9.9.1?topic=troubleshooting-ceph-objects")</f>
        <v/>
      </c>
    </row>
    <row r="1826" ht="18" customHeight="1">
      <c r="A1826" s="8" t="inlineStr">
        <is>
          <t>25.9.1</t>
        </is>
      </c>
      <c r="B1826" s="9" t="inlineStr">
        <is>
          <t xml:space="preserve">    Troubleshooting high-level object operations</t>
        </is>
      </c>
      <c r="C1826" s="10">
        <f>HYPERLINK("https://www.ibm.com/docs/en/storage-ceph/9.9.1?topic=objects-troubleshooting-high-level-object-operations","https://www.ibm.com/docs/en/storage-ceph/9.9.1?topic=objects-troubleshooting-high-level-object-operations")</f>
        <v/>
      </c>
    </row>
    <row r="1827" ht="18" customHeight="1">
      <c r="A1827" s="8" t="inlineStr">
        <is>
          <t>25.9.1.1</t>
        </is>
      </c>
      <c r="B1827" s="9" t="inlineStr">
        <is>
          <t xml:space="preserve">      Listing objects</t>
        </is>
      </c>
      <c r="C1827" s="10">
        <f>HYPERLINK("https://www.ibm.com/docs/en/storage-ceph/9.9.1?topic=operations-listing-objects","https://www.ibm.com/docs/en/storage-ceph/9.9.1?topic=operations-listing-objects")</f>
        <v/>
      </c>
    </row>
    <row r="1828" ht="18" customHeight="1">
      <c r="A1828" s="8" t="inlineStr">
        <is>
          <t>25.9.1.2</t>
        </is>
      </c>
      <c r="B1828" s="9" t="inlineStr">
        <is>
          <t xml:space="preserve">      Fixing lost objects</t>
        </is>
      </c>
      <c r="C1828" s="10">
        <f>HYPERLINK("https://www.ibm.com/docs/en/storage-ceph/9.9.1?topic=operations-fixing-lost-objects","https://www.ibm.com/docs/en/storage-ceph/9.9.1?topic=operations-fixing-lost-objects")</f>
        <v/>
      </c>
    </row>
    <row r="1829" ht="18" customHeight="1">
      <c r="A1829" s="8" t="inlineStr">
        <is>
          <t>25.9.2</t>
        </is>
      </c>
      <c r="B1829" s="9" t="inlineStr">
        <is>
          <t xml:space="preserve">    Troubleshooting low-level object operations</t>
        </is>
      </c>
      <c r="C1829" s="10">
        <f>HYPERLINK("https://www.ibm.com/docs/en/storage-ceph/9.9.1?topic=objects-troubleshooting-low-level-object-operations","https://www.ibm.com/docs/en/storage-ceph/9.9.1?topic=objects-troubleshooting-low-level-object-operations")</f>
        <v/>
      </c>
    </row>
    <row r="1830" ht="18" customHeight="1">
      <c r="A1830" s="8" t="inlineStr">
        <is>
          <t>25.9.2.1</t>
        </is>
      </c>
      <c r="B1830" s="9" t="inlineStr">
        <is>
          <t xml:space="preserve">      Manipulating object content</t>
        </is>
      </c>
      <c r="C1830" s="10">
        <f>HYPERLINK("https://www.ibm.com/docs/en/storage-ceph/9.9.1?topic=operations-manipulating-object-content","https://www.ibm.com/docs/en/storage-ceph/9.9.1?topic=operations-manipulating-object-content")</f>
        <v/>
      </c>
    </row>
    <row r="1831" ht="18" customHeight="1">
      <c r="A1831" s="8" t="inlineStr">
        <is>
          <t>25.9.2.2</t>
        </is>
      </c>
      <c r="B1831" s="9" t="inlineStr">
        <is>
          <t xml:space="preserve">      Removing an object</t>
        </is>
      </c>
      <c r="C1831" s="10">
        <f>HYPERLINK("https://www.ibm.com/docs/en/storage-ceph/9.9.1?topic=operations-removing-object","https://www.ibm.com/docs/en/storage-ceph/9.9.1?topic=operations-removing-object")</f>
        <v/>
      </c>
    </row>
    <row r="1832" ht="18" customHeight="1">
      <c r="A1832" s="8" t="inlineStr">
        <is>
          <t>25.9.2.3</t>
        </is>
      </c>
      <c r="B1832" s="9" t="inlineStr">
        <is>
          <t xml:space="preserve">      Listing object map</t>
        </is>
      </c>
      <c r="C1832" s="10">
        <f>HYPERLINK("https://www.ibm.com/docs/en/storage-ceph/9.9.1?topic=operations-listing-object-map","https://www.ibm.com/docs/en/storage-ceph/9.9.1?topic=operations-listing-object-map")</f>
        <v/>
      </c>
    </row>
    <row r="1833" ht="18" customHeight="1">
      <c r="A1833" s="8" t="inlineStr">
        <is>
          <t>25.9.2.4</t>
        </is>
      </c>
      <c r="B1833" s="9" t="inlineStr">
        <is>
          <t xml:space="preserve">      Manipulating object map header</t>
        </is>
      </c>
      <c r="C1833" s="10">
        <f>HYPERLINK("https://www.ibm.com/docs/en/storage-ceph/9.9.1?topic=operations-manipulating-object-map-header","https://www.ibm.com/docs/en/storage-ceph/9.9.1?topic=operations-manipulating-object-map-header")</f>
        <v/>
      </c>
    </row>
    <row r="1834" ht="18" customHeight="1">
      <c r="A1834" s="8" t="inlineStr">
        <is>
          <t>25.9.2.5</t>
        </is>
      </c>
      <c r="B1834" s="9" t="inlineStr">
        <is>
          <t xml:space="preserve">      Manipulating object map key</t>
        </is>
      </c>
      <c r="C1834" s="10">
        <f>HYPERLINK("https://www.ibm.com/docs/en/storage-ceph/9.9.1?topic=operations-manipulating-object-map-key","https://www.ibm.com/docs/en/storage-ceph/9.9.1?topic=operations-manipulating-object-map-key")</f>
        <v/>
      </c>
    </row>
    <row r="1835" ht="18" customHeight="1">
      <c r="A1835" s="8" t="inlineStr">
        <is>
          <t>25.9.2.6</t>
        </is>
      </c>
      <c r="B1835" s="9" t="inlineStr">
        <is>
          <t xml:space="preserve">      Listing object attributes</t>
        </is>
      </c>
      <c r="C1835" s="10">
        <f>HYPERLINK("https://www.ibm.com/docs/en/storage-ceph/9.9.1?topic=operations-listing-object-attributes","https://www.ibm.com/docs/en/storage-ceph/9.9.1?topic=operations-listing-object-attributes")</f>
        <v/>
      </c>
    </row>
    <row r="1836" ht="18" customHeight="1">
      <c r="A1836" s="8" t="inlineStr">
        <is>
          <t>25.9.2.7</t>
        </is>
      </c>
      <c r="B1836" s="9" t="inlineStr">
        <is>
          <t xml:space="preserve">      Manipulating object attribute key</t>
        </is>
      </c>
      <c r="C1836" s="10">
        <f>HYPERLINK("https://www.ibm.com/docs/en/storage-ceph/9.9.1?topic=operations-manipulating-object-attribute-key","https://www.ibm.com/docs/en/storage-ceph/9.9.1?topic=operations-manipulating-object-attribute-key")</f>
        <v/>
      </c>
    </row>
    <row r="1837" ht="18" customHeight="1">
      <c r="A1837" s="8" t="inlineStr">
        <is>
          <t>25.9.2.8</t>
        </is>
      </c>
      <c r="B1837" s="9" t="inlineStr">
        <is>
          <t xml:space="preserve">      Snapset metadata options</t>
        </is>
      </c>
      <c r="C1837" s="10">
        <f>HYPERLINK("https://www.ibm.com/docs/en/storage-ceph/9.9.1?topic=operations-snapset-metadata-options","https://www.ibm.com/docs/en/storage-ceph/9.9.1?topic=operations-snapset-metadata-options")</f>
        <v/>
      </c>
    </row>
    <row r="1838" ht="18" customHeight="1">
      <c r="A1838" s="5" t="inlineStr">
        <is>
          <t>25.10</t>
        </is>
      </c>
      <c r="B1838" s="6" t="inlineStr">
        <is>
          <t xml:space="preserve">  Troubleshooting NVMe-oF gateways</t>
        </is>
      </c>
      <c r="C1838" s="7">
        <f>HYPERLINK("https://www.ibm.com/docs/en/storage-ceph/9.9.1?topic=troubleshooting-nvme-gateways","https://www.ibm.com/docs/en/storage-ceph/9.9.1?topic=troubleshooting-nvme-gateways")</f>
        <v/>
      </c>
    </row>
    <row r="1839" ht="18" customHeight="1">
      <c r="A1839" s="8" t="inlineStr">
        <is>
          <t>25.10.1</t>
        </is>
      </c>
      <c r="B1839" s="9" t="inlineStr">
        <is>
          <t xml:space="preserve">    Troubleshooting FC to NVMe migration issues</t>
        </is>
      </c>
      <c r="C1839" s="10">
        <f>HYPERLINK("https://www.ibm.com/docs/en/storage-ceph/9.9.1?topic=gateways-troubleshooting-fc-nvme-migration-issues","https://www.ibm.com/docs/en/storage-ceph/9.9.1?topic=gateways-troubleshooting-fc-nvme-migration-issues")</f>
        <v/>
      </c>
    </row>
    <row r="1840" ht="18" customHeight="1">
      <c r="A1840" s="8" t="inlineStr">
        <is>
          <t>25.10.2</t>
        </is>
      </c>
      <c r="B1840" s="9" t="inlineStr">
        <is>
          <t xml:space="preserve">    Configuring the gateway to run without huge pages</t>
        </is>
      </c>
      <c r="C1840" s="10">
        <f>HYPERLINK("https://www.ibm.com/docs/en/storage-ceph/9.9.1?topic=gateways-configuring-gateway-run-without-huge-pages","https://www.ibm.com/docs/en/storage-ceph/9.9.1?topic=gateways-configuring-gateway-run-without-huge-pages")</f>
        <v/>
      </c>
    </row>
    <row r="1841" ht="18" customHeight="1">
      <c r="A1841" s="5" t="inlineStr">
        <is>
          <t>25.11</t>
        </is>
      </c>
      <c r="B1841" s="6" t="inlineStr">
        <is>
          <t xml:space="preserve">  Troubleshooting clusters in stretch mode</t>
        </is>
      </c>
      <c r="C1841" s="7">
        <f>HYPERLINK("https://www.ibm.com/docs/en/storage-ceph/9.9.1?topic=troubleshooting-clusters-in-stretch-mode","https://www.ibm.com/docs/en/storage-ceph/9.9.1?topic=troubleshooting-clusters-in-stretch-mode")</f>
        <v/>
      </c>
    </row>
    <row r="1842" ht="18" customHeight="1">
      <c r="A1842" s="8" t="inlineStr">
        <is>
          <t>25.11.1</t>
        </is>
      </c>
      <c r="B1842" s="9" t="inlineStr">
        <is>
          <t xml:space="preserve">    Forcing stretch cluster into recovery or healthy mode</t>
        </is>
      </c>
      <c r="C1842" s="10">
        <f>HYPERLINK("https://www.ibm.com/docs/en/storage-ceph/9.9.1?topic=mode-forcing-stretch-cluster-into-recovery-healthy","https://www.ibm.com/docs/en/storage-ceph/9.9.1?topic=mode-forcing-stretch-cluster-into-recovery-healthy")</f>
        <v/>
      </c>
    </row>
    <row r="1843" ht="18" customHeight="1">
      <c r="A1843" s="5" t="inlineStr">
        <is>
          <t>25.12</t>
        </is>
      </c>
      <c r="B1843" s="6" t="inlineStr">
        <is>
          <t xml:space="preserve">  Troubleshooting for Call Home</t>
        </is>
      </c>
      <c r="C1843" s="7">
        <f>HYPERLINK("https://www.ibm.com/docs/en/storage-ceph/9.9.1?topic=troubleshooting-call-home","https://www.ibm.com/docs/en/storage-ceph/9.9.1?topic=troubleshooting-call-home")</f>
        <v/>
      </c>
    </row>
    <row r="1844" ht="18" customHeight="1">
      <c r="A1844" s="8" t="inlineStr">
        <is>
          <t>25.12.1</t>
        </is>
      </c>
      <c r="B1844" s="9" t="inlineStr">
        <is>
          <t xml:space="preserve">    Resolving Call Home communication errors</t>
        </is>
      </c>
      <c r="C1844" s="10">
        <f>HYPERLINK("https://www.ibm.com/docs/en/storage-ceph/9.9.1?topic=home-resolving-call-communication-errors","https://www.ibm.com/docs/en/storage-ceph/9.9.1?topic=home-resolving-call-communication-errors")</f>
        <v/>
      </c>
    </row>
    <row r="1845" ht="18" customHeight="1">
      <c r="A1845" s="8" t="inlineStr">
        <is>
          <t>25.12.2</t>
        </is>
      </c>
      <c r="B1845" s="9" t="inlineStr">
        <is>
          <t xml:space="preserve">    Troubleshooting command content errors</t>
        </is>
      </c>
      <c r="C1845" s="10">
        <f>HYPERLINK("https://www.ibm.com/docs/en/storage-ceph/9.9.1?topic=home-troubleshooting-command-content-errors","https://www.ibm.com/docs/en/storage-ceph/9.9.1?topic=home-troubleshooting-command-content-errors")</f>
        <v/>
      </c>
    </row>
    <row r="1846" ht="18" customHeight="1">
      <c r="A1846" s="8" t="inlineStr">
        <is>
          <t>25.12.3</t>
        </is>
      </c>
      <c r="B1846" s="9" t="inlineStr">
        <is>
          <t xml:space="preserve">    Call Home firewall and proxy troubleshooting</t>
        </is>
      </c>
      <c r="C1846" s="10">
        <f>HYPERLINK("https://www.ibm.com/docs/en/storage-ceph/9.9.1?topic=home-call-firewall-proxy-troubleshooting","https://www.ibm.com/docs/en/storage-ceph/9.9.1?topic=home-call-firewall-proxy-troubleshooting")</f>
        <v/>
      </c>
    </row>
    <row r="1847" ht="18" customHeight="1">
      <c r="A1847" s="8" t="inlineStr">
        <is>
          <t>25.12.4</t>
        </is>
      </c>
      <c r="B1847" s="9" t="inlineStr">
        <is>
          <t xml:space="preserve">    IBM Call Home events</t>
        </is>
      </c>
      <c r="C1847" s="10">
        <f>HYPERLINK("https://www.ibm.com/docs/en/storage-ceph/9.9.1?topic=home-call-events","https://www.ibm.com/docs/en/storage-ceph/9.9.1?topic=home-call-events")</f>
        <v/>
      </c>
    </row>
    <row r="1848" ht="18" customHeight="1">
      <c r="A1848" s="8" t="inlineStr">
        <is>
          <t>25.12.5</t>
        </is>
      </c>
      <c r="B1848" s="9" t="inlineStr">
        <is>
          <t xml:space="preserve">    Critical events that trigger support tickets</t>
        </is>
      </c>
      <c r="C1848" s="10">
        <f>HYPERLINK("https://www.ibm.com/docs/en/storage-ceph/9.9.1?topic=home-critical-events-that-trigger-support-tickets","https://www.ibm.com/docs/en/storage-ceph/9.9.1?topic=home-critical-events-that-trigger-support-tickets")</f>
        <v/>
      </c>
    </row>
    <row r="1849" ht="18" customHeight="1">
      <c r="A1849" s="5" t="inlineStr">
        <is>
          <t>25.13</t>
        </is>
      </c>
      <c r="B1849" s="6" t="inlineStr">
        <is>
          <t xml:space="preserve">  Troubleshooting scrub and deep-scrub issues</t>
        </is>
      </c>
      <c r="C1849" s="7">
        <f>HYPERLINK("https://www.ibm.com/docs/en/storage-ceph/9.9.1?topic=troubleshooting-scrub-deep-scrub-issues","https://www.ibm.com/docs/en/storage-ceph/9.9.1?topic=troubleshooting-scrub-deep-scrub-issues")</f>
        <v/>
      </c>
    </row>
    <row r="1850" ht="18" customHeight="1">
      <c r="A1850" s="8" t="inlineStr">
        <is>
          <t>25.13.1</t>
        </is>
      </c>
      <c r="B1850" s="9" t="inlineStr">
        <is>
          <t xml:space="preserve">    Addressing scrub slowness issue after upgrading from IBM Storage Ceph 6 to IBM Storage Ceph 8 and IBM Storage Ceph 7 to IBM Storage Ceph 8</t>
        </is>
      </c>
      <c r="C1850" s="10">
        <f>HYPERLINK("https://www.ibm.com/docs/en/storage-ceph/9.9.1?topic=tsdsi-addressing-scrub-slowness-issue-after-upgrading-from-storage-ceph-6-storage-ceph-8-storage-ceph-7-storage-ceph-8","https://www.ibm.com/docs/en/storage-ceph/9.9.1?topic=tsdsi-addressing-scrub-slowness-issue-after-upgrading-from-storage-ceph-6-storage-ceph-8-storage-ceph-7-storage-ceph-8")</f>
        <v/>
      </c>
    </row>
    <row r="1851" ht="18" customHeight="1">
      <c r="A1851" s="5" t="inlineStr">
        <is>
          <t>25.14</t>
        </is>
      </c>
      <c r="B1851" s="6" t="inlineStr">
        <is>
          <t xml:space="preserve">  Troubleshooting SMB in a Ceph environment</t>
        </is>
      </c>
      <c r="C1851" s="7">
        <f>HYPERLINK("https://www.ibm.com/docs/en/storage-ceph/9.9.1?topic=troubleshooting-smb-in-ceph-environment","https://www.ibm.com/docs/en/storage-ceph/9.9.1?topic=troubleshooting-smb-in-ceph-environment")</f>
        <v/>
      </c>
    </row>
    <row r="1852" ht="18" customHeight="1">
      <c r="A1852" s="8" t="inlineStr">
        <is>
          <t>25.14.1</t>
        </is>
      </c>
      <c r="B1852" s="9" t="inlineStr">
        <is>
          <t xml:space="preserve">    Testing connectivity of Ceph SMB services from the client side (Windows)</t>
        </is>
      </c>
      <c r="C1852" s="10">
        <f>HYPERLINK("https://www.ibm.com/docs/en/storage-ceph/9.9.1?topic=tsice-testing-connectivity-ceph-smb-services-from-client-side-windows","https://www.ibm.com/docs/en/storage-ceph/9.9.1?topic=tsice-testing-connectivity-ceph-smb-services-from-client-side-windows")</f>
        <v/>
      </c>
    </row>
    <row r="1853" ht="18" customHeight="1">
      <c r="A1853" s="8" t="inlineStr">
        <is>
          <t>25.14.2</t>
        </is>
      </c>
      <c r="B1853" s="9" t="inlineStr">
        <is>
          <t xml:space="preserve">    Measuring SMB throughput by using Robocopy</t>
        </is>
      </c>
      <c r="C1853" s="10">
        <f>HYPERLINK("https://www.ibm.com/docs/en/storage-ceph/9.9.1?topic=environment-measuring-smb-throughput-by-using-robocopy","https://www.ibm.com/docs/en/storage-ceph/9.9.1?topic=environment-measuring-smb-throughput-by-using-robocopy")</f>
        <v/>
      </c>
    </row>
    <row r="1854" ht="18" customHeight="1">
      <c r="A1854" s="8" t="inlineStr">
        <is>
          <t>25.14.3</t>
        </is>
      </c>
      <c r="B1854" s="9" t="inlineStr">
        <is>
          <t xml:space="preserve">    Testing Virtual IP and failovers</t>
        </is>
      </c>
      <c r="C1854" s="10">
        <f>HYPERLINK("https://www.ibm.com/docs/en/storage-ceph/9.9.1?topic=environment-testing-virtual-ip-failovers","https://www.ibm.com/docs/en/storage-ceph/9.9.1?topic=environment-testing-virtual-ip-failovers")</f>
        <v/>
      </c>
    </row>
    <row r="1855" ht="18" customHeight="1">
      <c r="A1855" s="5" t="inlineStr">
        <is>
          <t>25.15</t>
        </is>
      </c>
      <c r="B1855" s="6" t="inlineStr">
        <is>
          <t xml:space="preserve">  Ceph subsystems default logging level values</t>
        </is>
      </c>
      <c r="C1855" s="7">
        <f>HYPERLINK("https://www.ibm.com/docs/en/storage-ceph/9.9.1?topic=troubleshooting-ceph-subsystems-default-logging-level-values","https://www.ibm.com/docs/en/storage-ceph/9.9.1?topic=troubleshooting-ceph-subsystems-default-logging-level-values")</f>
        <v/>
      </c>
    </row>
    <row r="1856" ht="18" customHeight="1">
      <c r="A1856" s="5" t="inlineStr">
        <is>
          <t>25.16</t>
        </is>
      </c>
      <c r="B1856" s="6" t="inlineStr">
        <is>
          <t xml:space="preserve">  Troubleshooting upgrade error messages</t>
        </is>
      </c>
      <c r="C1856" s="7">
        <f>HYPERLINK("https://www.ibm.com/docs/en/storage-ceph/9.9.1?topic=troubleshooting-upgrade-error-messages","https://www.ibm.com/docs/en/storage-ceph/9.9.1?topic=troubleshooting-upgrade-error-messages")</f>
        <v/>
      </c>
    </row>
    <row r="1857" ht="18" customHeight="1">
      <c r="A1857" s="5" t="inlineStr">
        <is>
          <t>25.17</t>
        </is>
      </c>
      <c r="B1857" s="6" t="inlineStr">
        <is>
          <t xml:space="preserve">  Health messages of a Ceph cluster</t>
        </is>
      </c>
      <c r="C1857" s="7">
        <f>HYPERLINK("https://www.ibm.com/docs/en/storage-ceph/9.9.1?topic=troubleshooting-health-messages-ceph-cluster","https://www.ibm.com/docs/en/storage-ceph/9.9.1?topic=troubleshooting-health-messages-ceph-cluster")</f>
        <v/>
      </c>
    </row>
    <row r="1858" ht="18" customHeight="1">
      <c r="A1858" s="8" t="inlineStr">
        <is>
          <t>25.17.1</t>
        </is>
      </c>
      <c r="B1858" s="9" t="inlineStr">
        <is>
          <t xml:space="preserve">    CephX authentication health checks</t>
        </is>
      </c>
      <c r="C1858" s="10">
        <f>HYPERLINK("https://www.ibm.com/docs/en/storage-ceph/9.9.1?topic=cluster-cephx-authentication-health-checks","https://www.ibm.com/docs/en/storage-ceph/9.9.1?topic=cluster-cephx-authentication-health-checks")</f>
        <v/>
      </c>
    </row>
    <row r="1859" ht="18" customHeight="1">
      <c r="A1859" s="5" t="inlineStr">
        <is>
          <t>25.18</t>
        </is>
      </c>
      <c r="B1859" s="6" t="inlineStr">
        <is>
          <t xml:space="preserve">  Troubleshooting TLS security in NFS</t>
        </is>
      </c>
      <c r="C1859" s="7">
        <f>HYPERLINK("https://www.ibm.com/docs/en/storage-ceph/9.9.1?topic=troubleshooting-tls-security-in-nfs","https://www.ibm.com/docs/en/storage-ceph/9.9.1?topic=troubleshooting-tls-security-in-nfs")</f>
        <v/>
      </c>
    </row>
    <row r="1860" ht="18" customHeight="1">
      <c r="A1860" s="8" t="inlineStr">
        <is>
          <t>25.18.1</t>
        </is>
      </c>
      <c r="B1860" s="9" t="inlineStr">
        <is>
          <t xml:space="preserve">    Setting up TLS in NFS clients using tlshd (ktls-utils)</t>
        </is>
      </c>
      <c r="C1860" s="10">
        <f>HYPERLINK("https://www.ibm.com/docs/en/storage-ceph/9.9.1?topic=ttsin-setting-up-tls-in-nfs-clients-using-tlshd-ktls-utils","https://www.ibm.com/docs/en/storage-ceph/9.9.1?topic=ttsin-setting-up-tls-in-nfs-clients-using-tlshd-ktls-utils")</f>
        <v/>
      </c>
    </row>
    <row r="1861" ht="18" customHeight="1">
      <c r="A1861" s="8" t="inlineStr">
        <is>
          <t>25.18.2</t>
        </is>
      </c>
      <c r="B1861" s="9" t="inlineStr">
        <is>
          <t xml:space="preserve">    Manually configuring TLS settings for NFS</t>
        </is>
      </c>
      <c r="C1861" s="10">
        <f>HYPERLINK("https://www.ibm.com/docs/en/storage-ceph/9.9.1?topic=nfs-manually-configuring-tls-settings","https://www.ibm.com/docs/en/storage-ceph/9.9.1?topic=nfs-manually-configuring-tls-settings")</f>
        <v/>
      </c>
    </row>
    <row r="1862" ht="18" customHeight="1">
      <c r="A1862" s="8" t="inlineStr">
        <is>
          <t>25.18.3</t>
        </is>
      </c>
      <c r="B1862" s="9" t="inlineStr">
        <is>
          <t xml:space="preserve">    Manually specify share security options for NFS</t>
        </is>
      </c>
      <c r="C1862" s="10">
        <f>HYPERLINK("https://www.ibm.com/docs/en/storage-ceph/9.9.1?topic=nfs-manually-specify-share-security-options","https://www.ibm.com/docs/en/storage-ceph/9.9.1?topic=nfs-manually-specify-share-security-options")</f>
        <v/>
      </c>
    </row>
    <row r="1863" ht="18" customHeight="1">
      <c r="A1863" s="2" t="inlineStr">
        <is>
          <t>26</t>
        </is>
      </c>
      <c r="B1863" s="3" t="inlineStr">
        <is>
          <t>Frequently asked questions (FAQs)</t>
        </is>
      </c>
      <c r="C1863" s="4">
        <f>HYPERLINK("https://www.ibm.com/docs/en/storage-ceph/9.9.1?topic=frequently-asked-questions-faqs","https://www.ibm.com/docs/en/storage-ceph/9.9.1?topic=frequently-asked-questions-faqs")</f>
        <v/>
      </c>
    </row>
    <row r="1864" ht="18" customHeight="1">
      <c r="A1864" s="5" t="inlineStr">
        <is>
          <t>26.1</t>
        </is>
      </c>
      <c r="B1864" s="6" t="inlineStr">
        <is>
          <t xml:space="preserve">  Hardware and network questions</t>
        </is>
      </c>
      <c r="C1864" s="7">
        <f>HYPERLINK("https://www.ibm.com/docs/en/storage-ceph/9.9.1?topic=faqs-hardware-network-questions","https://www.ibm.com/docs/en/storage-ceph/9.9.1?topic=faqs-hardware-network-questions")</f>
        <v/>
      </c>
    </row>
    <row r="1865" ht="18" customHeight="1">
      <c r="A1865" s="5" t="inlineStr">
        <is>
          <t>26.2</t>
        </is>
      </c>
      <c r="B1865" s="6" t="inlineStr">
        <is>
          <t xml:space="preserve">  Software-related questions</t>
        </is>
      </c>
      <c r="C1865" s="7">
        <f>HYPERLINK("https://www.ibm.com/docs/en/storage-ceph/9.9.1?topic=faqs-software-related-questions","https://www.ibm.com/docs/en/storage-ceph/9.9.1?topic=faqs-software-related-questions")</f>
        <v/>
      </c>
    </row>
    <row r="1866" ht="18" customHeight="1">
      <c r="A1866" s="5" t="inlineStr">
        <is>
          <t>26.3</t>
        </is>
      </c>
      <c r="B1866" s="6" t="inlineStr">
        <is>
          <t xml:space="preserve">  Installation questions</t>
        </is>
      </c>
      <c r="C1866" s="7">
        <f>HYPERLINK("https://www.ibm.com/docs/en/storage-ceph/9.9.1?topic=faqs-installation-questions","https://www.ibm.com/docs/en/storage-ceph/9.9.1?topic=faqs-installation-questions")</f>
        <v/>
      </c>
    </row>
    <row r="1867" ht="18" customHeight="1">
      <c r="A1867" s="5" t="inlineStr">
        <is>
          <t>26.4</t>
        </is>
      </c>
      <c r="B1867" s="6" t="inlineStr">
        <is>
          <t xml:space="preserve">  Upgrade questions</t>
        </is>
      </c>
      <c r="C1867" s="7">
        <f>HYPERLINK("https://www.ibm.com/docs/en/storage-ceph/9.9.1?topic=faqs-upgrade-questions","https://www.ibm.com/docs/en/storage-ceph/9.9.1?topic=faqs-upgrade-questions")</f>
        <v/>
      </c>
    </row>
    <row r="1868" ht="18" customHeight="1">
      <c r="A1868" s="2" t="inlineStr">
        <is>
          <t>27</t>
        </is>
      </c>
      <c r="B1868" s="3" t="inlineStr">
        <is>
          <t>Related information</t>
        </is>
      </c>
      <c r="C1868" s="4">
        <f>HYPERLINK("https://www.ibm.com/docs/en/storage-ceph/9.9.1?topic=related-information","https://www.ibm.com/docs/en/storage-ceph/9.9.1?topic=related-information")</f>
        <v/>
      </c>
    </row>
    <row r="1869" ht="18" customHeight="1">
      <c r="A1869" s="2" t="inlineStr">
        <is>
          <t>28</t>
        </is>
      </c>
      <c r="B1869" s="3" t="inlineStr">
        <is>
          <t>Red Hat Ceph Storage 9.1 publications</t>
        </is>
      </c>
      <c r="C1869" s="4">
        <f>HYPERLINK("https://www.ibm.com/docs/en/storage-ceph/9.9.1?topic=red-hat-ceph-storage-91-publications","https://www.ibm.com/docs/en/storage-ceph/9.9.1?topic=red-hat-ceph-storage-91-publications")</f>
        <v/>
      </c>
    </row>
    <row r="1870" ht="18" customHeight="1">
      <c r="A1870" s="2" t="inlineStr">
        <is>
          <t>29</t>
        </is>
      </c>
      <c r="B1870" s="3" t="inlineStr">
        <is>
          <t>Notices</t>
        </is>
      </c>
      <c r="C1870" s="4">
        <f>HYPERLINK("https://www.ibm.com/docs/en/storage-ceph/9.9.1?topic=notices","https://www.ibm.com/docs/en/storage-ceph/9.9.1?topic=notices")</f>
        <v/>
      </c>
    </row>
    <row r="1871" ht="18" customHeight="1">
      <c r="A1871" s="5" t="inlineStr">
        <is>
          <t>29.1</t>
        </is>
      </c>
      <c r="B1871" s="6" t="inlineStr">
        <is>
          <t xml:space="preserve">  Trademarks</t>
        </is>
      </c>
      <c r="C1871" s="7">
        <f>HYPERLINK("https://www.ibm.com/docs/en/storage-ceph/9.9.1?topic=notices-trademarks","https://www.ibm.com/docs/en/storage-ceph/9.9.1?topic=notices-trademarks")</f>
        <v/>
      </c>
    </row>
    <row r="1872" ht="18" customHeight="1">
      <c r="A1872" s="5" t="inlineStr">
        <is>
          <t>29.2</t>
        </is>
      </c>
      <c r="B1872" s="6" t="inlineStr">
        <is>
          <t xml:space="preserve">  Terms and conditions for product documentation</t>
        </is>
      </c>
      <c r="C1872" s="7">
        <f>HYPERLINK("https://www.ibm.com/docs/en/storage-ceph/9.9.1?topic=notices-terms-conditions-product-documentation","https://www.ibm.com/docs/en/storage-ceph/9.9.1?topic=notices-terms-conditions-product-documentation")</f>
        <v/>
      </c>
    </row>
    <row r="1873" ht="18" customHeight="1">
      <c r="A1873" s="2" t="inlineStr">
        <is>
          <t>30</t>
        </is>
      </c>
      <c r="B1873" s="3" t="inlineStr">
        <is>
          <t>Acknowledgments</t>
        </is>
      </c>
      <c r="C1873" s="4">
        <f>HYPERLINK("https://www.ibm.com/docs/en/storage-ceph/9.9.1?topic=acknowledgments","https://www.ibm.com/docs/en/storage-ceph/9.9.1?topic=acknowledgments")</f>
        <v/>
      </c>
    </row>
    <row r="1874" ht="18" customHeight="1">
      <c r="A1874" s="2" t="inlineStr">
        <is>
          <t>31</t>
        </is>
      </c>
      <c r="B1874" s="3" t="inlineStr">
        <is>
          <t>Glossary</t>
        </is>
      </c>
      <c r="C1874" s="4">
        <f>HYPERLINK("https://www.ibm.com/docs/en/storage-ceph/9.9.1?topic=glossary","https://www.ibm.com/docs/en/storage-ceph/9.9.1?topic=glossary")</f>
        <v/>
      </c>
    </row>
    <row r="1875" ht="18" customHeight="1">
      <c r="A1875" s="5" t="inlineStr">
        <is>
          <t>31.1</t>
        </is>
      </c>
      <c r="B1875" s="6" t="inlineStr">
        <is>
          <t xml:space="preserve">  A</t>
        </is>
      </c>
      <c r="C1875" s="7">
        <f>HYPERLINK("https://www.ibm.com/docs/en/storage-ceph/9.9.1?topic=glossary#gloss_A","https://www.ibm.com/docs/en/storage-ceph/9.9.1?topic=glossary#gloss_A")</f>
        <v/>
      </c>
    </row>
    <row r="1876" ht="18" customHeight="1">
      <c r="A1876" s="5" t="inlineStr">
        <is>
          <t>31.2</t>
        </is>
      </c>
      <c r="B1876" s="6" t="inlineStr">
        <is>
          <t xml:space="preserve">  B</t>
        </is>
      </c>
      <c r="C1876" s="7">
        <f>HYPERLINK("https://www.ibm.com/docs/en/storage-ceph/9.9.1?topic=glossary#gloss_B","https://www.ibm.com/docs/en/storage-ceph/9.9.1?topic=glossary#gloss_B")</f>
        <v/>
      </c>
    </row>
    <row r="1877" ht="18" customHeight="1">
      <c r="A1877" s="5" t="inlineStr">
        <is>
          <t>31.3</t>
        </is>
      </c>
      <c r="B1877" s="6" t="inlineStr">
        <is>
          <t xml:space="preserve">  C</t>
        </is>
      </c>
      <c r="C1877" s="7">
        <f>HYPERLINK("https://www.ibm.com/docs/en/storage-ceph/9.9.1?topic=glossary#gloss_C","https://www.ibm.com/docs/en/storage-ceph/9.9.1?topic=glossary#gloss_C")</f>
        <v/>
      </c>
    </row>
    <row r="1878" ht="18" customHeight="1">
      <c r="A1878" s="5" t="inlineStr">
        <is>
          <t>31.4</t>
        </is>
      </c>
      <c r="B1878" s="6" t="inlineStr">
        <is>
          <t xml:space="preserve">  D</t>
        </is>
      </c>
      <c r="C1878" s="7">
        <f>HYPERLINK("https://www.ibm.com/docs/en/storage-ceph/9.9.1?topic=glossary#gloss_D","https://www.ibm.com/docs/en/storage-ceph/9.9.1?topic=glossary#gloss_D")</f>
        <v/>
      </c>
    </row>
    <row r="1879" ht="18" customHeight="1">
      <c r="A1879" s="5" t="inlineStr">
        <is>
          <t>31.5</t>
        </is>
      </c>
      <c r="B1879" s="6" t="inlineStr">
        <is>
          <t xml:space="preserve">  E</t>
        </is>
      </c>
      <c r="C1879" s="7">
        <f>HYPERLINK("https://www.ibm.com/docs/en/storage-ceph/9.9.1?topic=glossary#gloss_E","https://www.ibm.com/docs/en/storage-ceph/9.9.1?topic=glossary#gloss_E")</f>
        <v/>
      </c>
    </row>
    <row r="1880" ht="18" customHeight="1">
      <c r="A1880" s="5" t="inlineStr">
        <is>
          <t>31.6</t>
        </is>
      </c>
      <c r="B1880" s="6" t="inlineStr">
        <is>
          <t xml:space="preserve">  F</t>
        </is>
      </c>
      <c r="C1880" s="7">
        <f>HYPERLINK("https://www.ibm.com/docs/en/storage-ceph/9.9.1?topic=glossary#gloss_F","https://www.ibm.com/docs/en/storage-ceph/9.9.1?topic=glossary#gloss_F")</f>
        <v/>
      </c>
    </row>
    <row r="1881" ht="18" customHeight="1">
      <c r="A1881" s="5" t="inlineStr">
        <is>
          <t>31.7</t>
        </is>
      </c>
      <c r="B1881" s="6" t="inlineStr">
        <is>
          <t xml:space="preserve">  G</t>
        </is>
      </c>
      <c r="C1881" s="7">
        <f>HYPERLINK("https://www.ibm.com/docs/en/storage-ceph/9.9.1?topic=glossary#gloss_G","https://www.ibm.com/docs/en/storage-ceph/9.9.1?topic=glossary#gloss_G")</f>
        <v/>
      </c>
    </row>
    <row r="1882" ht="18" customHeight="1">
      <c r="A1882" s="5" t="inlineStr">
        <is>
          <t>31.8</t>
        </is>
      </c>
      <c r="B1882" s="6" t="inlineStr">
        <is>
          <t xml:space="preserve">  H</t>
        </is>
      </c>
      <c r="C1882" s="7">
        <f>HYPERLINK("https://www.ibm.com/docs/en/storage-ceph/9.9.1?topic=glossary#gloss_H","https://www.ibm.com/docs/en/storage-ceph/9.9.1?topic=glossary#gloss_H")</f>
        <v/>
      </c>
    </row>
    <row r="1883" ht="18" customHeight="1">
      <c r="A1883" s="5" t="inlineStr">
        <is>
          <t>31.9</t>
        </is>
      </c>
      <c r="B1883" s="6" t="inlineStr">
        <is>
          <t xml:space="preserve">  I</t>
        </is>
      </c>
      <c r="C1883" s="7">
        <f>HYPERLINK("https://www.ibm.com/docs/en/storage-ceph/9.9.1?topic=glossary#gloss_I","https://www.ibm.com/docs/en/storage-ceph/9.9.1?topic=glossary#gloss_I")</f>
        <v/>
      </c>
    </row>
    <row r="1884" ht="18" customHeight="1">
      <c r="A1884" s="5" t="inlineStr">
        <is>
          <t>31.10</t>
        </is>
      </c>
      <c r="B1884" s="6" t="inlineStr">
        <is>
          <t xml:space="preserve">  K</t>
        </is>
      </c>
      <c r="C1884" s="7">
        <f>HYPERLINK("https://www.ibm.com/docs/en/storage-ceph/9.9.1?topic=glossary#gloss_K","https://www.ibm.com/docs/en/storage-ceph/9.9.1?topic=glossary#gloss_K")</f>
        <v/>
      </c>
    </row>
    <row r="1885" ht="18" customHeight="1">
      <c r="A1885" s="5" t="inlineStr">
        <is>
          <t>31.11</t>
        </is>
      </c>
      <c r="B1885" s="6" t="inlineStr">
        <is>
          <t xml:space="preserve">  L</t>
        </is>
      </c>
      <c r="C1885" s="7">
        <f>HYPERLINK("https://www.ibm.com/docs/en/storage-ceph/9.9.1?topic=glossary#gloss_L","https://www.ibm.com/docs/en/storage-ceph/9.9.1?topic=glossary#gloss_L")</f>
        <v/>
      </c>
    </row>
    <row r="1886" ht="18" customHeight="1">
      <c r="A1886" s="5" t="inlineStr">
        <is>
          <t>31.12</t>
        </is>
      </c>
      <c r="B1886" s="6" t="inlineStr">
        <is>
          <t xml:space="preserve">  M</t>
        </is>
      </c>
      <c r="C1886" s="7">
        <f>HYPERLINK("https://www.ibm.com/docs/en/storage-ceph/9.9.1?topic=glossary#gloss_M","https://www.ibm.com/docs/en/storage-ceph/9.9.1?topic=glossary#gloss_M")</f>
        <v/>
      </c>
    </row>
    <row r="1887" ht="18" customHeight="1">
      <c r="A1887" s="5" t="inlineStr">
        <is>
          <t>31.13</t>
        </is>
      </c>
      <c r="B1887" s="6" t="inlineStr">
        <is>
          <t xml:space="preserve">  N</t>
        </is>
      </c>
      <c r="C1887" s="7">
        <f>HYPERLINK("https://www.ibm.com/docs/en/storage-ceph/9.9.1?topic=glossary#gloss_N","https://www.ibm.com/docs/en/storage-ceph/9.9.1?topic=glossary#gloss_N")</f>
        <v/>
      </c>
    </row>
    <row r="1888" ht="18" customHeight="1">
      <c r="A1888" s="5" t="inlineStr">
        <is>
          <t>31.14</t>
        </is>
      </c>
      <c r="B1888" s="6" t="inlineStr">
        <is>
          <t xml:space="preserve">  O</t>
        </is>
      </c>
      <c r="C1888" s="7">
        <f>HYPERLINK("https://www.ibm.com/docs/en/storage-ceph/9.9.1?topic=glossary#gloss_O","https://www.ibm.com/docs/en/storage-ceph/9.9.1?topic=glossary#gloss_O")</f>
        <v/>
      </c>
    </row>
    <row r="1889" ht="18" customHeight="1">
      <c r="A1889" s="5" t="inlineStr">
        <is>
          <t>31.15</t>
        </is>
      </c>
      <c r="B1889" s="6" t="inlineStr">
        <is>
          <t xml:space="preserve">  P</t>
        </is>
      </c>
      <c r="C1889" s="7">
        <f>HYPERLINK("https://www.ibm.com/docs/en/storage-ceph/9.9.1?topic=glossary#gloss_P","https://www.ibm.com/docs/en/storage-ceph/9.9.1?topic=glossary#gloss_P")</f>
        <v/>
      </c>
    </row>
    <row r="1890" ht="18" customHeight="1">
      <c r="A1890" s="5" t="inlineStr">
        <is>
          <t>31.16</t>
        </is>
      </c>
      <c r="B1890" s="6" t="inlineStr">
        <is>
          <t xml:space="preserve">  R</t>
        </is>
      </c>
      <c r="C1890" s="7">
        <f>HYPERLINK("https://www.ibm.com/docs/en/storage-ceph/9.9.1?topic=glossary#gloss_R","https://www.ibm.com/docs/en/storage-ceph/9.9.1?topic=glossary#gloss_R")</f>
        <v/>
      </c>
    </row>
    <row r="1891" ht="18" customHeight="1">
      <c r="A1891" s="5" t="inlineStr">
        <is>
          <t>31.17</t>
        </is>
      </c>
      <c r="B1891" s="6" t="inlineStr">
        <is>
          <t xml:space="preserve">  S</t>
        </is>
      </c>
      <c r="C1891" s="7">
        <f>HYPERLINK("https://www.ibm.com/docs/en/storage-ceph/9.9.1?topic=glossary#gloss_S","https://www.ibm.com/docs/en/storage-ceph/9.9.1?topic=glossary#gloss_S")</f>
        <v/>
      </c>
    </row>
    <row r="1892" ht="18" customHeight="1">
      <c r="A1892" s="5" t="inlineStr">
        <is>
          <t>31.18</t>
        </is>
      </c>
      <c r="B1892" s="6" t="inlineStr">
        <is>
          <t xml:space="preserve">  T</t>
        </is>
      </c>
      <c r="C1892" s="7">
        <f>HYPERLINK("https://www.ibm.com/docs/en/storage-ceph/9.9.1?topic=glossary#gloss_T","https://www.ibm.com/docs/en/storage-ceph/9.9.1?topic=glossary#gloss_T")</f>
        <v/>
      </c>
    </row>
    <row r="1893" ht="18" customHeight="1">
      <c r="A1893" s="5" t="inlineStr">
        <is>
          <t>31.19</t>
        </is>
      </c>
      <c r="B1893" s="6" t="inlineStr">
        <is>
          <t xml:space="preserve">  U</t>
        </is>
      </c>
      <c r="C1893" s="7">
        <f>HYPERLINK("https://www.ibm.com/docs/en/storage-ceph/9.9.1?topic=glossary#gloss_U","https://www.ibm.com/docs/en/storage-ceph/9.9.1?topic=glossary#gloss_U")</f>
        <v/>
      </c>
    </row>
    <row r="1894" ht="18" customHeight="1">
      <c r="A1894" s="5" t="inlineStr">
        <is>
          <t>31.20</t>
        </is>
      </c>
      <c r="B1894" s="6" t="inlineStr">
        <is>
          <t xml:space="preserve">  V</t>
        </is>
      </c>
      <c r="C1894" s="7">
        <f>HYPERLINK("https://www.ibm.com/docs/en/storage-ceph/9.9.1?topic=glossary#gloss_V","https://www.ibm.com/docs/en/storage-ceph/9.9.1?topic=glossary#gloss_V")</f>
        <v/>
      </c>
    </row>
    <row r="1895" ht="18" customHeight="1">
      <c r="A1895" s="5" t="inlineStr">
        <is>
          <t>31.21</t>
        </is>
      </c>
      <c r="B1895" s="6" t="inlineStr">
        <is>
          <t xml:space="preserve">  W</t>
        </is>
      </c>
      <c r="C1895" s="7">
        <f>HYPERLINK("https://www.ibm.com/docs/en/storage-ceph/9.9.1?topic=glossary#gloss_W","https://www.ibm.com/docs/en/storage-ceph/9.9.1?topic=glossary#gloss_W")</f>
        <v/>
      </c>
    </row>
    <row r="1896" ht="18" customHeight="1">
      <c r="A1896" s="5" t="inlineStr">
        <is>
          <t>31.22</t>
        </is>
      </c>
      <c r="B1896" s="6" t="inlineStr">
        <is>
          <t xml:space="preserve">  Z</t>
        </is>
      </c>
      <c r="C1896" s="7">
        <f>HYPERLINK("https://www.ibm.com/docs/en/storage-ceph/9.9.1?topic=glossary#gloss_Z","https://www.ibm.com/docs/en/storage-ceph/9.9.1?topic=glossary#gloss_Z")</f>
        <v/>
      </c>
    </row>
  </sheetData>
  <autoFilter ref="A1:C18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</cols>
  <sheetData>
    <row r="1">
      <c r="A1" s="11" t="inlineStr">
        <is>
          <t>Category</t>
        </is>
      </c>
      <c r="B1" t="inlineStr">
        <is>
          <t>IBM Storage Ceph 9.9.1</t>
        </is>
      </c>
    </row>
    <row r="2">
      <c r="A2" s="11" t="inlineStr">
        <is>
          <t>Generated</t>
        </is>
      </c>
      <c r="B2" t="inlineStr">
        <is>
          <t>2026-09-22 23:10:28</t>
        </is>
      </c>
    </row>
    <row r="3">
      <c r="A3" s="11" t="inlineStr">
        <is>
          <t>Total entries</t>
        </is>
      </c>
      <c r="B3" t="n">
        <v>1895</v>
      </c>
    </row>
    <row r="4">
      <c r="A4" s="11" t="inlineStr">
        <is>
          <t>Top-level</t>
        </is>
      </c>
      <c r="B4" t="n">
        <v>31</v>
      </c>
    </row>
    <row r="5">
      <c r="A5" s="11" t="inlineStr">
        <is>
          <t>Skipped sections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2026-09-22T16:10:27Z</dcterms:created>
  <dcterms:modified xmlns:dcterms="http://purl.org/dc/terms/" xmlns:xsi="http://www.w3.org/2001/XMLSchema-instance" xsi:type="dcterms:W3CDTF">2026-09-23T05:38:46Z</dcterms:modified>
</cp:coreProperties>
</file>